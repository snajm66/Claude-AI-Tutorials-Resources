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Summar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AM-TL Performance" sheetId="3" state="visible" r:id="rId3"/>
    <sheet xmlns:r="http://schemas.openxmlformats.org/officeDocument/2006/relationships" name="Transaction Master" sheetId="4" state="visible" r:id="rId4"/>
    <sheet xmlns:r="http://schemas.openxmlformats.org/officeDocument/2006/relationships" name="Claude Demo Promp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,000"/>
    <numFmt numFmtId="167" formatCode="#,##0;(#,##0);-"/>
    <numFmt numFmtId="168" formatCode="0.00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AAAAAA"/>
      <sz val="9"/>
    </font>
    <font>
      <name val="Arial"/>
      <b val="1"/>
      <color rgb="00FFFFFF"/>
      <sz val="9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b val="1"/>
      <color rgb="00FFD700"/>
      <sz val="11"/>
    </font>
    <font>
      <name val="Arial"/>
      <color rgb="00000000"/>
      <sz val="9"/>
    </font>
    <font>
      <name val="Arial"/>
      <b val="1"/>
      <color rgb="00000000"/>
      <sz val="10"/>
    </font>
    <font>
      <name val="Arial"/>
      <color rgb="00666666"/>
      <sz val="9"/>
    </font>
    <font>
      <name val="Arial"/>
      <b val="1"/>
      <color rgb="00FFFFFF"/>
      <sz val="11"/>
    </font>
    <font>
      <name val="Arial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0B0F2E"/>
      </patternFill>
    </fill>
    <fill>
      <patternFill patternType="solid">
        <fgColor rgb="001A2560"/>
      </patternFill>
    </fill>
    <fill>
      <patternFill patternType="solid">
        <fgColor rgb="00F2F4F8"/>
      </patternFill>
    </fill>
    <fill>
      <patternFill patternType="solid">
        <fgColor rgb="00E8EAF0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7" fillId="2" borderId="1" applyAlignment="1" pivotButton="0" quotePrefix="0" xfId="0">
      <alignment horizontal="center" vertical="center" wrapText="1"/>
    </xf>
    <xf numFmtId="166" fontId="7" fillId="2" borderId="1" applyAlignment="1" pivotButton="0" quotePrefix="0" xfId="0">
      <alignment horizontal="center" vertical="center" wrapText="1"/>
    </xf>
    <xf numFmtId="165" fontId="7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right" vertical="center"/>
    </xf>
    <xf numFmtId="165" fontId="6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right" vertical="center"/>
    </xf>
    <xf numFmtId="3" fontId="9" fillId="4" borderId="1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right" vertical="center"/>
    </xf>
    <xf numFmtId="3" fontId="9" fillId="0" borderId="1" applyAlignment="1" pivotButton="0" quotePrefix="0" xfId="0">
      <alignment horizontal="right" vertical="center"/>
    </xf>
    <xf numFmtId="0" fontId="6" fillId="3" borderId="0" applyAlignment="1" pivotButton="0" quotePrefix="0" xfId="0">
      <alignment horizontal="center" vertical="center" wrapText="1"/>
    </xf>
    <xf numFmtId="3" fontId="6" fillId="3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left" vertical="center"/>
    </xf>
    <xf numFmtId="164" fontId="9" fillId="4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/>
    </xf>
    <xf numFmtId="164" fontId="9" fillId="0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center" vertical="center" wrapText="1"/>
    </xf>
    <xf numFmtId="4" fontId="8" fillId="4" borderId="1" applyAlignment="1" pivotButton="0" quotePrefix="0" xfId="0">
      <alignment horizontal="right" vertical="center"/>
    </xf>
    <xf numFmtId="3" fontId="8" fillId="4" borderId="1" applyAlignment="1" pivotButton="0" quotePrefix="0" xfId="0">
      <alignment horizontal="right" vertical="center"/>
    </xf>
    <xf numFmtId="168" fontId="8" fillId="4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 wrapText="1"/>
    </xf>
    <xf numFmtId="4" fontId="8" fillId="0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3" customWidth="1" min="12" max="12"/>
    <col width="13" customWidth="1" min="13" max="13"/>
  </cols>
  <sheetData>
    <row r="1" ht="40" customHeight="1">
      <c r="A1" s="1" t="inlineStr">
        <is>
          <t>DEMO TRADE BANK LIMITED — Trade Finance Dashboard YTD 2026  ⚠️ FICTIONAL DATA ONLY</t>
        </is>
      </c>
    </row>
    <row r="2" ht="16" customHeight="1">
      <c r="A2" s="2" t="inlineStr">
        <is>
          <t>All figures in PKR Millions | Fictional demo dataset — no real customer, branch or transaction data</t>
        </is>
      </c>
    </row>
    <row r="3" ht="30" customHeight="1">
      <c r="A3" s="3" t="inlineStr">
        <is>
          <t>Total Target (Rs. Mn)</t>
        </is>
      </c>
      <c r="B3" s="4" t="n"/>
      <c r="C3" s="3" t="inlineStr">
        <is>
          <t>YTD Achieved (Rs. Mn)</t>
        </is>
      </c>
      <c r="D3" s="5">
        <f>SUM(L6:L8,L11:L12,L14:L15)</f>
        <v/>
      </c>
      <c r="E3" s="3" t="inlineStr">
        <is>
          <t>Remaining Target</t>
        </is>
      </c>
      <c r="F3" s="5">
        <f>B3-C3</f>
        <v/>
      </c>
      <c r="G3" s="3" t="inlineStr">
        <is>
          <t>Trade Income YTD</t>
        </is>
      </c>
      <c r="H3" s="5" t="inlineStr">
        <is>
          <t>398.2</t>
        </is>
      </c>
      <c r="I3" s="3" t="inlineStr">
        <is>
          <t>Total Customers</t>
        </is>
      </c>
      <c r="J3" s="6" t="inlineStr">
        <is>
          <t>2,545</t>
        </is>
      </c>
      <c r="K3" s="3" t="inlineStr">
        <is>
          <t>Achievement %</t>
        </is>
      </c>
      <c r="L3" s="7">
        <f>IFERROR(C3/B3,0)</f>
        <v/>
      </c>
    </row>
    <row r="4" ht="30" customHeight="1"/>
    <row r="5" ht="20" customHeight="1">
      <c r="A5" s="3" t="inlineStr">
        <is>
          <t>Segment</t>
        </is>
      </c>
      <c r="B5" s="3" t="inlineStr">
        <is>
          <t>Region / AM-TL</t>
        </is>
      </c>
      <c r="C5" s="3" t="inlineStr">
        <is>
          <t>Export
Target</t>
        </is>
      </c>
      <c r="D5" s="3" t="inlineStr">
        <is>
          <t>Export
Achieved</t>
        </is>
      </c>
      <c r="E5" s="3" t="inlineStr">
        <is>
          <t>Import
Target</t>
        </is>
      </c>
      <c r="F5" s="3" t="inlineStr">
        <is>
          <t>Import
Achieved</t>
        </is>
      </c>
      <c r="G5" s="3" t="inlineStr">
        <is>
          <t>Guarantee
Target</t>
        </is>
      </c>
      <c r="H5" s="3" t="inlineStr">
        <is>
          <t>Guarantee
Achieved</t>
        </is>
      </c>
      <c r="I5" s="3" t="inlineStr">
        <is>
          <t>Export Svcs
Achieved</t>
        </is>
      </c>
      <c r="J5" s="3" t="inlineStr">
        <is>
          <t>IT Exp/FL
Achieved</t>
        </is>
      </c>
      <c r="K5" s="3" t="inlineStr">
        <is>
          <t>Total
Target</t>
        </is>
      </c>
      <c r="L5" s="3" t="inlineStr">
        <is>
          <t>YTD
Achieved</t>
        </is>
      </c>
      <c r="M5" s="3" t="inlineStr">
        <is>
          <t>% Achievement</t>
        </is>
      </c>
    </row>
    <row r="6" ht="20" customHeight="1">
      <c r="A6" s="8" t="inlineStr">
        <is>
          <t>Corporate</t>
        </is>
      </c>
      <c r="B6" s="8" t="inlineStr">
        <is>
          <t>Alpha Region - Omar Siddiqui</t>
        </is>
      </c>
      <c r="C6" s="9" t="n">
        <v>33000</v>
      </c>
      <c r="D6" s="9" t="n">
        <v>24238</v>
      </c>
      <c r="E6" s="9" t="n">
        <v>37000</v>
      </c>
      <c r="F6" s="9" t="n">
        <v>27279</v>
      </c>
      <c r="G6" s="9" t="n">
        <v>4676</v>
      </c>
      <c r="H6" s="9" t="n">
        <v>546</v>
      </c>
      <c r="I6" s="9" t="n">
        <v>97.8</v>
      </c>
      <c r="J6" s="9" t="n">
        <v>0</v>
      </c>
      <c r="K6" s="9">
        <f>C4+E4+G4</f>
        <v/>
      </c>
      <c r="L6" s="9">
        <f>D4+F4+H4+I4+J4</f>
        <v/>
      </c>
      <c r="M6" s="10">
        <f>IFERROR(L4/K4,0)</f>
        <v/>
      </c>
    </row>
    <row r="7" ht="20" customHeight="1">
      <c r="A7" s="11" t="inlineStr">
        <is>
          <t>Corporate</t>
        </is>
      </c>
      <c r="B7" s="11" t="inlineStr">
        <is>
          <t>Beta Region - Tariq Mehmood</t>
        </is>
      </c>
      <c r="C7" s="12" t="n">
        <v>22200</v>
      </c>
      <c r="D7" s="12" t="n">
        <v>16214</v>
      </c>
      <c r="E7" s="12" t="n">
        <v>32190</v>
      </c>
      <c r="F7" s="12" t="n">
        <v>22241</v>
      </c>
      <c r="G7" s="12" t="n">
        <v>1364</v>
      </c>
      <c r="H7" s="12" t="n">
        <v>6</v>
      </c>
      <c r="I7" s="12" t="n">
        <v>0</v>
      </c>
      <c r="J7" s="12" t="n">
        <v>0</v>
      </c>
      <c r="K7" s="12">
        <f>C5+E5+G5</f>
        <v/>
      </c>
      <c r="L7" s="12">
        <f>D5+F5+H5+I5+J5</f>
        <v/>
      </c>
      <c r="M7" s="13">
        <f>IFERROR(L5/K5,0)</f>
        <v/>
      </c>
    </row>
    <row r="8" ht="20" customHeight="1">
      <c r="A8" s="14" t="inlineStr">
        <is>
          <t>Corporate</t>
        </is>
      </c>
      <c r="B8" s="14" t="inlineStr">
        <is>
          <t>Subtotal Corporate</t>
        </is>
      </c>
      <c r="C8" s="15">
        <f>SUM(C4:C5)</f>
        <v/>
      </c>
      <c r="D8" s="15">
        <f>SUM(D4:D5)</f>
        <v/>
      </c>
      <c r="E8" s="15">
        <f>SUM(E4:E5)</f>
        <v/>
      </c>
      <c r="F8" s="15">
        <f>SUM(F4:F5)</f>
        <v/>
      </c>
      <c r="G8" s="15">
        <f>SUM(G4:G5)</f>
        <v/>
      </c>
      <c r="H8" s="15">
        <f>SUM(H4:H5)</f>
        <v/>
      </c>
      <c r="I8" s="15">
        <f>SUM(I4:I5)</f>
        <v/>
      </c>
      <c r="J8" s="15">
        <f>SUM(J4:J5)</f>
        <v/>
      </c>
      <c r="K8" s="15">
        <f>C6+E6+G6</f>
        <v/>
      </c>
      <c r="L8" s="15">
        <f>D6+F6+H6+I6+J6</f>
        <v/>
      </c>
      <c r="M8" s="16">
        <f>IFERROR(L6/K6,0)</f>
        <v/>
      </c>
    </row>
    <row r="9" ht="20" customHeight="1">
      <c r="A9" s="11" t="inlineStr">
        <is>
          <t>Commercial</t>
        </is>
      </c>
      <c r="B9" s="11" t="inlineStr">
        <is>
          <t>Gamma Region - Salman Iqbal</t>
        </is>
      </c>
      <c r="C9" s="12" t="n">
        <v>6188</v>
      </c>
      <c r="D9" s="12" t="n">
        <v>6112</v>
      </c>
      <c r="E9" s="12" t="n">
        <v>12694</v>
      </c>
      <c r="F9" s="12" t="n">
        <v>7423</v>
      </c>
      <c r="G9" s="12" t="n">
        <v>1740</v>
      </c>
      <c r="H9" s="12" t="n">
        <v>522</v>
      </c>
      <c r="I9" s="12" t="n">
        <v>1</v>
      </c>
      <c r="J9" s="12" t="n">
        <v>7</v>
      </c>
      <c r="K9" s="12">
        <f>C7+E7+G7</f>
        <v/>
      </c>
      <c r="L9" s="12">
        <f>D7+F7+H7+I7+J7</f>
        <v/>
      </c>
      <c r="M9" s="13">
        <f>IFERROR(L7/K7,0)</f>
        <v/>
      </c>
    </row>
    <row r="10" ht="20" customHeight="1">
      <c r="A10" s="8" t="inlineStr">
        <is>
          <t>Commercial</t>
        </is>
      </c>
      <c r="B10" s="8" t="inlineStr">
        <is>
          <t>Delta Region - Faisal Khan</t>
        </is>
      </c>
      <c r="C10" s="9" t="n">
        <v>6188</v>
      </c>
      <c r="D10" s="9" t="n">
        <v>5429</v>
      </c>
      <c r="E10" s="9" t="n">
        <v>12694</v>
      </c>
      <c r="F10" s="9" t="n">
        <v>6324</v>
      </c>
      <c r="G10" s="9" t="n">
        <v>1824</v>
      </c>
      <c r="H10" s="9" t="n">
        <v>1858</v>
      </c>
      <c r="I10" s="9" t="n">
        <v>1</v>
      </c>
      <c r="J10" s="9" t="n">
        <v>30</v>
      </c>
      <c r="K10" s="9">
        <f>C8+E8+G8</f>
        <v/>
      </c>
      <c r="L10" s="9">
        <f>D8+F8+H8+I8+J8</f>
        <v/>
      </c>
      <c r="M10" s="10">
        <f>IFERROR(L8/K8,0)</f>
        <v/>
      </c>
    </row>
    <row r="11" ht="20" customHeight="1">
      <c r="A11" s="14" t="inlineStr">
        <is>
          <t>Commercial</t>
        </is>
      </c>
      <c r="B11" s="14" t="inlineStr">
        <is>
          <t>Subtotal Commercial</t>
        </is>
      </c>
      <c r="C11" s="15">
        <f>SUM(C7:C8)</f>
        <v/>
      </c>
      <c r="D11" s="15">
        <f>SUM(D7:D8)</f>
        <v/>
      </c>
      <c r="E11" s="15">
        <f>SUM(E7:E8)</f>
        <v/>
      </c>
      <c r="F11" s="15">
        <f>SUM(F7:F8)</f>
        <v/>
      </c>
      <c r="G11" s="15">
        <f>SUM(G7:G8)</f>
        <v/>
      </c>
      <c r="H11" s="15">
        <f>SUM(H7:H8)</f>
        <v/>
      </c>
      <c r="I11" s="15">
        <f>SUM(I7:I8)</f>
        <v/>
      </c>
      <c r="J11" s="15">
        <f>SUM(J7:J8)</f>
        <v/>
      </c>
      <c r="K11" s="15">
        <f>C9+E9+G9</f>
        <v/>
      </c>
      <c r="L11" s="15">
        <f>D9+F9+H9+I9+J9</f>
        <v/>
      </c>
      <c r="M11" s="16">
        <f>IFERROR(L9/K9,0)</f>
        <v/>
      </c>
    </row>
    <row r="12" ht="20" customHeight="1">
      <c r="A12" s="8" t="inlineStr">
        <is>
          <t>SME &amp; Distribution</t>
        </is>
      </c>
      <c r="B12" s="8" t="inlineStr">
        <is>
          <t>Epsilon Region - Zara Hussain</t>
        </is>
      </c>
      <c r="C12" s="9" t="n">
        <v>3121</v>
      </c>
      <c r="D12" s="9" t="n">
        <v>2123</v>
      </c>
      <c r="E12" s="9" t="n">
        <v>6005</v>
      </c>
      <c r="F12" s="9" t="n">
        <v>5950</v>
      </c>
      <c r="G12" s="9" t="n">
        <v>1254</v>
      </c>
      <c r="H12" s="9" t="n">
        <v>490</v>
      </c>
      <c r="I12" s="9" t="n">
        <v>362</v>
      </c>
      <c r="J12" s="9" t="n">
        <v>1255</v>
      </c>
      <c r="K12" s="9">
        <f>C10+E10+G10</f>
        <v/>
      </c>
      <c r="L12" s="9">
        <f>D10+F10+H10+I10+J10</f>
        <v/>
      </c>
      <c r="M12" s="10">
        <f>IFERROR(L10/K10,0)</f>
        <v/>
      </c>
    </row>
    <row r="13" ht="20" customHeight="1">
      <c r="A13" s="11" t="inlineStr">
        <is>
          <t>SME &amp; Distribution</t>
        </is>
      </c>
      <c r="B13" s="11" t="inlineStr">
        <is>
          <t>Zeta Region - Nadia Baig</t>
        </is>
      </c>
      <c r="C13" s="12" t="n">
        <v>3738</v>
      </c>
      <c r="D13" s="12" t="n">
        <v>1758</v>
      </c>
      <c r="E13" s="12" t="n">
        <v>6078</v>
      </c>
      <c r="F13" s="12" t="n">
        <v>3672</v>
      </c>
      <c r="G13" s="12" t="n">
        <v>1070</v>
      </c>
      <c r="H13" s="12" t="n">
        <v>240</v>
      </c>
      <c r="I13" s="12" t="n">
        <v>529</v>
      </c>
      <c r="J13" s="12" t="n">
        <v>1077</v>
      </c>
      <c r="K13" s="12">
        <f>C11+E11+G11</f>
        <v/>
      </c>
      <c r="L13" s="12">
        <f>D11+F11+H11+I11+J11</f>
        <v/>
      </c>
      <c r="M13" s="13">
        <f>IFERROR(L11/K11,0)</f>
        <v/>
      </c>
    </row>
    <row r="14">
      <c r="A14" s="14" t="inlineStr">
        <is>
          <t>SME &amp; Distribution</t>
        </is>
      </c>
      <c r="B14" s="14" t="inlineStr">
        <is>
          <t>Subtotal SME &amp; Distribution</t>
        </is>
      </c>
      <c r="C14" s="15">
        <f>SUM(C10:C11)</f>
        <v/>
      </c>
      <c r="D14" s="15">
        <f>SUM(D10:D11)</f>
        <v/>
      </c>
      <c r="E14" s="15">
        <f>SUM(E10:E11)</f>
        <v/>
      </c>
      <c r="F14" s="15">
        <f>SUM(F10:F11)</f>
        <v/>
      </c>
      <c r="G14" s="15">
        <f>SUM(G10:G11)</f>
        <v/>
      </c>
      <c r="H14" s="15">
        <f>SUM(H10:H11)</f>
        <v/>
      </c>
      <c r="I14" s="15">
        <f>SUM(I10:I11)</f>
        <v/>
      </c>
      <c r="J14" s="15">
        <f>SUM(J10:J11)</f>
        <v/>
      </c>
      <c r="K14" s="15">
        <f>C12+E12+G12</f>
        <v/>
      </c>
      <c r="L14" s="15">
        <f>D12+F12+H12+I12+J12</f>
        <v/>
      </c>
      <c r="M14" s="16">
        <f>IFERROR(L12/K12,0)</f>
        <v/>
      </c>
    </row>
    <row r="15">
      <c r="A15" s="14" t="inlineStr">
        <is>
          <t>NET TOTAL</t>
        </is>
      </c>
      <c r="B15" s="14" t="inlineStr">
        <is>
          <t>ALL SEGMENTS</t>
        </is>
      </c>
      <c r="C15" s="15">
        <f>C6+C9+C12</f>
        <v/>
      </c>
      <c r="D15" s="15">
        <f>D6+D9+D12</f>
        <v/>
      </c>
      <c r="E15" s="15">
        <f>E6+E9+E12</f>
        <v/>
      </c>
      <c r="F15" s="15">
        <f>F6+F9+F12</f>
        <v/>
      </c>
      <c r="G15" s="15">
        <f>G6+G9+G12</f>
        <v/>
      </c>
      <c r="H15" s="15">
        <f>H6+H9+H12</f>
        <v/>
      </c>
      <c r="I15" s="15">
        <f>I6+I9+I12</f>
        <v/>
      </c>
      <c r="J15" s="15">
        <f>J6+J9+J12</f>
        <v/>
      </c>
      <c r="K15" s="15">
        <f>C13+E13+G13</f>
        <v/>
      </c>
      <c r="L15" s="15">
        <f>D13+F13+H13+I13+J13</f>
        <v/>
      </c>
      <c r="M15" s="16">
        <f>IFERROR(L13/K13,0)</f>
        <v/>
      </c>
    </row>
  </sheetData>
  <mergeCells count="4">
    <mergeCell ref="A4:B4"/>
    <mergeCell ref="A3:B3"/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40" customHeight="1">
      <c r="A1" s="1" t="inlineStr">
        <is>
          <t>DEMO TRADE BANK LIMITED — Monthly Trade Business Trend YTD 2026  ⚠️ FICTIONAL DATA</t>
        </is>
      </c>
    </row>
    <row r="2" ht="16" customHeight="1">
      <c r="A2" s="2" t="inlineStr">
        <is>
          <t>Rs. in Millions | Jan–Jun 2026 | Fictional data — for demo purposes only</t>
        </is>
      </c>
    </row>
    <row r="3" ht="36" customHeight="1">
      <c r="A3" s="3" t="inlineStr">
        <is>
          <t>Segment</t>
        </is>
      </c>
      <c r="B3" s="3" t="inlineStr">
        <is>
          <t>Instrument</t>
        </is>
      </c>
      <c r="C3" s="3" t="inlineStr">
        <is>
          <t>Jan Target</t>
        </is>
      </c>
      <c r="D3" s="3" t="inlineStr">
        <is>
          <t>Jan Achieved</t>
        </is>
      </c>
      <c r="E3" s="3" t="inlineStr">
        <is>
          <t>Feb Target</t>
        </is>
      </c>
      <c r="F3" s="3" t="inlineStr">
        <is>
          <t>Feb Achieved</t>
        </is>
      </c>
      <c r="G3" s="3" t="inlineStr">
        <is>
          <t>Mar Target</t>
        </is>
      </c>
      <c r="H3" s="3" t="inlineStr">
        <is>
          <t>Mar Achieved</t>
        </is>
      </c>
      <c r="I3" s="3" t="inlineStr">
        <is>
          <t>Apr Target</t>
        </is>
      </c>
      <c r="J3" s="3" t="inlineStr">
        <is>
          <t>Apr Achieved</t>
        </is>
      </c>
      <c r="K3" s="3" t="inlineStr">
        <is>
          <t>May Target</t>
        </is>
      </c>
      <c r="L3" s="3" t="inlineStr">
        <is>
          <t>May Achieved</t>
        </is>
      </c>
      <c r="M3" s="3" t="inlineStr">
        <is>
          <t>Jun Target</t>
        </is>
      </c>
      <c r="N3" s="3" t="inlineStr">
        <is>
          <t>Jun Achieved</t>
        </is>
      </c>
      <c r="O3" s="3" t="inlineStr">
        <is>
          <t>YTD Target</t>
        </is>
      </c>
      <c r="P3" s="3" t="inlineStr">
        <is>
          <t>YTD Achieved</t>
        </is>
      </c>
      <c r="Q3" s="3" t="inlineStr">
        <is>
          <t>Variance</t>
        </is>
      </c>
    </row>
    <row r="4" ht="18" customHeight="1">
      <c r="A4" s="17" t="inlineStr">
        <is>
          <t>SME &amp; Dist.</t>
        </is>
      </c>
      <c r="B4" s="17" t="inlineStr">
        <is>
          <t>Export</t>
        </is>
      </c>
      <c r="C4" s="18" t="n">
        <v>3121</v>
      </c>
      <c r="D4" s="18" t="n">
        <v>2123</v>
      </c>
      <c r="E4" s="18" t="n">
        <v>3738</v>
      </c>
      <c r="F4" s="18" t="n">
        <v>1758</v>
      </c>
      <c r="G4" s="18" t="n">
        <v>3168</v>
      </c>
      <c r="H4" s="18" t="n">
        <v>1800</v>
      </c>
      <c r="I4" s="18" t="n">
        <v>2916</v>
      </c>
      <c r="J4" s="18" t="n">
        <v>1522</v>
      </c>
      <c r="K4" s="18" t="n">
        <v>3098</v>
      </c>
      <c r="L4" s="18" t="n">
        <v>1388</v>
      </c>
      <c r="M4" s="18" t="n">
        <v>3724</v>
      </c>
      <c r="N4" s="18" t="n">
        <v>1305</v>
      </c>
      <c r="O4" s="19">
        <f>C4+E4+G4+I4+K4+M4</f>
        <v/>
      </c>
      <c r="P4" s="20">
        <f>D4+F4+H4+J4+L4+N4</f>
        <v/>
      </c>
      <c r="Q4" s="21">
        <f>P4-O4</f>
        <v/>
      </c>
    </row>
    <row r="5" ht="18" customHeight="1">
      <c r="A5" s="22" t="inlineStr">
        <is>
          <t>SME &amp; Dist.</t>
        </is>
      </c>
      <c r="B5" s="22" t="inlineStr">
        <is>
          <t>Guarantee</t>
        </is>
      </c>
      <c r="C5" s="23" t="n">
        <v>1254</v>
      </c>
      <c r="D5" s="23" t="n">
        <v>490</v>
      </c>
      <c r="E5" s="23" t="n">
        <v>1070</v>
      </c>
      <c r="F5" s="23" t="n">
        <v>240</v>
      </c>
      <c r="G5" s="23" t="n">
        <v>656</v>
      </c>
      <c r="H5" s="23" t="n">
        <v>186</v>
      </c>
      <c r="I5" s="23" t="n">
        <v>1663</v>
      </c>
      <c r="J5" s="23" t="n">
        <v>621</v>
      </c>
      <c r="K5" s="23" t="n">
        <v>854</v>
      </c>
      <c r="L5" s="23" t="n">
        <v>119</v>
      </c>
      <c r="M5" s="23" t="n">
        <v>688</v>
      </c>
      <c r="N5" s="23" t="n">
        <v>974</v>
      </c>
      <c r="O5" s="24">
        <f>C5+E5+G5+I5+K5+M5</f>
        <v/>
      </c>
      <c r="P5" s="20">
        <f>D5+F5+H5+J5+L5+N5</f>
        <v/>
      </c>
      <c r="Q5" s="21">
        <f>P5-O5</f>
        <v/>
      </c>
    </row>
    <row r="6" ht="18" customHeight="1">
      <c r="A6" s="17" t="inlineStr">
        <is>
          <t>SME &amp; Dist.</t>
        </is>
      </c>
      <c r="B6" s="17" t="inlineStr">
        <is>
          <t>Import</t>
        </is>
      </c>
      <c r="C6" s="18" t="n">
        <v>6005</v>
      </c>
      <c r="D6" s="18" t="n">
        <v>5950</v>
      </c>
      <c r="E6" s="18" t="n">
        <v>6078</v>
      </c>
      <c r="F6" s="18" t="n">
        <v>3672</v>
      </c>
      <c r="G6" s="18" t="n">
        <v>5271</v>
      </c>
      <c r="H6" s="18" t="n">
        <v>4182</v>
      </c>
      <c r="I6" s="18" t="n">
        <v>6189</v>
      </c>
      <c r="J6" s="18" t="n">
        <v>4441</v>
      </c>
      <c r="K6" s="18" t="n">
        <v>4422</v>
      </c>
      <c r="L6" s="18" t="n">
        <v>3788</v>
      </c>
      <c r="M6" s="18" t="n">
        <v>5948</v>
      </c>
      <c r="N6" s="18" t="n">
        <v>3940</v>
      </c>
      <c r="O6" s="19">
        <f>C6+E6+G6+I6+K6+M6</f>
        <v/>
      </c>
      <c r="P6" s="20">
        <f>D6+F6+H6+J6+L6+N6</f>
        <v/>
      </c>
      <c r="Q6" s="21">
        <f>P6-O6</f>
        <v/>
      </c>
    </row>
    <row r="7" ht="18" customHeight="1">
      <c r="A7" s="22" t="inlineStr">
        <is>
          <t>SME &amp; Dist.</t>
        </is>
      </c>
      <c r="B7" s="22" t="inlineStr">
        <is>
          <t>IT Exp / FL</t>
        </is>
      </c>
      <c r="C7" s="23" t="n">
        <v>0</v>
      </c>
      <c r="D7" s="23" t="n">
        <v>1255</v>
      </c>
      <c r="E7" s="23" t="n">
        <v>0</v>
      </c>
      <c r="F7" s="23" t="n">
        <v>1077</v>
      </c>
      <c r="G7" s="23" t="n">
        <v>0</v>
      </c>
      <c r="H7" s="23" t="n">
        <v>1045</v>
      </c>
      <c r="I7" s="23" t="n">
        <v>0</v>
      </c>
      <c r="J7" s="23" t="n">
        <v>1163</v>
      </c>
      <c r="K7" s="23" t="n">
        <v>0</v>
      </c>
      <c r="L7" s="23" t="n">
        <v>1167</v>
      </c>
      <c r="M7" s="23" t="n">
        <v>0</v>
      </c>
      <c r="N7" s="23" t="n">
        <v>0</v>
      </c>
      <c r="O7" s="24">
        <f>C7+E7+G7+I7+K7+M7</f>
        <v/>
      </c>
      <c r="P7" s="20">
        <f>D7+F7+H7+J7+L7+N7</f>
        <v/>
      </c>
      <c r="Q7" s="21">
        <f>P7-O7</f>
        <v/>
      </c>
    </row>
    <row r="8" ht="18" customHeight="1">
      <c r="A8" s="17" t="inlineStr">
        <is>
          <t>SME &amp; Dist.</t>
        </is>
      </c>
      <c r="B8" s="17" t="inlineStr">
        <is>
          <t>Export Services</t>
        </is>
      </c>
      <c r="C8" s="18" t="n">
        <v>0</v>
      </c>
      <c r="D8" s="18" t="n">
        <v>362</v>
      </c>
      <c r="E8" s="18" t="n">
        <v>0</v>
      </c>
      <c r="F8" s="18" t="n">
        <v>529</v>
      </c>
      <c r="G8" s="18" t="n">
        <v>0</v>
      </c>
      <c r="H8" s="18" t="n">
        <v>448</v>
      </c>
      <c r="I8" s="18" t="n">
        <v>0</v>
      </c>
      <c r="J8" s="18" t="n">
        <v>473</v>
      </c>
      <c r="K8" s="18" t="n">
        <v>0</v>
      </c>
      <c r="L8" s="18" t="n">
        <v>361</v>
      </c>
      <c r="M8" s="18" t="n">
        <v>0</v>
      </c>
      <c r="N8" s="18" t="n">
        <v>0</v>
      </c>
      <c r="O8" s="19">
        <f>C8+E8+G8+I8+K8+M8</f>
        <v/>
      </c>
      <c r="P8" s="20">
        <f>D8+F8+H8+J8+L8+N8</f>
        <v/>
      </c>
      <c r="Q8" s="21">
        <f>P8-O8</f>
        <v/>
      </c>
    </row>
    <row r="9" ht="18" customHeight="1">
      <c r="A9" s="22" t="inlineStr">
        <is>
          <t>Commercial</t>
        </is>
      </c>
      <c r="B9" s="22" t="inlineStr">
        <is>
          <t>Export</t>
        </is>
      </c>
      <c r="C9" s="23" t="n">
        <v>6188</v>
      </c>
      <c r="D9" s="23" t="n">
        <v>6112</v>
      </c>
      <c r="E9" s="23" t="n">
        <v>6188</v>
      </c>
      <c r="F9" s="23" t="n">
        <v>5429</v>
      </c>
      <c r="G9" s="23" t="n">
        <v>6188</v>
      </c>
      <c r="H9" s="23" t="n">
        <v>4540</v>
      </c>
      <c r="I9" s="23" t="n">
        <v>6497</v>
      </c>
      <c r="J9" s="23" t="n">
        <v>5498</v>
      </c>
      <c r="K9" s="23" t="n">
        <v>6821</v>
      </c>
      <c r="L9" s="23" t="n">
        <v>3929</v>
      </c>
      <c r="M9" s="23" t="n">
        <v>7162</v>
      </c>
      <c r="N9" s="23" t="n">
        <v>3696</v>
      </c>
      <c r="O9" s="24">
        <f>C9+E9+G9+I9+K9+M9</f>
        <v/>
      </c>
      <c r="P9" s="20">
        <f>D9+F9+H9+J9+L9+N9</f>
        <v/>
      </c>
      <c r="Q9" s="21">
        <f>P9-O9</f>
        <v/>
      </c>
    </row>
    <row r="10" ht="18" customHeight="1">
      <c r="A10" s="17" t="inlineStr">
        <is>
          <t>Commercial</t>
        </is>
      </c>
      <c r="B10" s="17" t="inlineStr">
        <is>
          <t>Guarantee</t>
        </is>
      </c>
      <c r="C10" s="18" t="n">
        <v>1740</v>
      </c>
      <c r="D10" s="18" t="n">
        <v>522</v>
      </c>
      <c r="E10" s="18" t="n">
        <v>1824</v>
      </c>
      <c r="F10" s="18" t="n">
        <v>1858</v>
      </c>
      <c r="G10" s="18" t="n">
        <v>1911</v>
      </c>
      <c r="H10" s="18" t="n">
        <v>835</v>
      </c>
      <c r="I10" s="18" t="n">
        <v>2004</v>
      </c>
      <c r="J10" s="18" t="n">
        <v>1228</v>
      </c>
      <c r="K10" s="18" t="n">
        <v>2104</v>
      </c>
      <c r="L10" s="18" t="n">
        <v>7656</v>
      </c>
      <c r="M10" s="18" t="n">
        <v>2209</v>
      </c>
      <c r="N10" s="18" t="n">
        <v>1408</v>
      </c>
      <c r="O10" s="19">
        <f>C10+E10+G10+I10+K10+M10</f>
        <v/>
      </c>
      <c r="P10" s="20">
        <f>D10+F10+H10+J10+L10+N10</f>
        <v/>
      </c>
      <c r="Q10" s="21">
        <f>P10-O10</f>
        <v/>
      </c>
    </row>
    <row r="11" ht="18" customHeight="1">
      <c r="A11" s="22" t="inlineStr">
        <is>
          <t>Commercial</t>
        </is>
      </c>
      <c r="B11" s="22" t="inlineStr">
        <is>
          <t>Import</t>
        </is>
      </c>
      <c r="C11" s="23" t="n">
        <v>12694</v>
      </c>
      <c r="D11" s="23" t="n">
        <v>7423</v>
      </c>
      <c r="E11" s="23" t="n">
        <v>12694</v>
      </c>
      <c r="F11" s="23" t="n">
        <v>6324</v>
      </c>
      <c r="G11" s="23" t="n">
        <v>12694</v>
      </c>
      <c r="H11" s="23" t="n">
        <v>9475</v>
      </c>
      <c r="I11" s="23" t="n">
        <v>12694</v>
      </c>
      <c r="J11" s="23" t="n">
        <v>8966</v>
      </c>
      <c r="K11" s="23" t="n">
        <v>12694</v>
      </c>
      <c r="L11" s="23" t="n">
        <v>9166</v>
      </c>
      <c r="M11" s="23" t="n">
        <v>13090</v>
      </c>
      <c r="N11" s="23" t="n">
        <v>5021</v>
      </c>
      <c r="O11" s="24">
        <f>C11+E11+G11+I11+K11+M11</f>
        <v/>
      </c>
      <c r="P11" s="20">
        <f>D11+F11+H11+J11+L11+N11</f>
        <v/>
      </c>
      <c r="Q11" s="21">
        <f>P11-O11</f>
        <v/>
      </c>
    </row>
    <row r="12" ht="18" customHeight="1">
      <c r="A12" s="17" t="inlineStr">
        <is>
          <t>Corporate</t>
        </is>
      </c>
      <c r="B12" s="17" t="inlineStr">
        <is>
          <t>Export</t>
        </is>
      </c>
      <c r="C12" s="18" t="n">
        <v>7920</v>
      </c>
      <c r="D12" s="18" t="n">
        <v>7066</v>
      </c>
      <c r="E12" s="18" t="n">
        <v>8711</v>
      </c>
      <c r="F12" s="18" t="n">
        <v>6790</v>
      </c>
      <c r="G12" s="18" t="n">
        <v>9503</v>
      </c>
      <c r="H12" s="18" t="n">
        <v>6193</v>
      </c>
      <c r="I12" s="18" t="n">
        <v>9503</v>
      </c>
      <c r="J12" s="18" t="n">
        <v>9225</v>
      </c>
      <c r="K12" s="18" t="n">
        <v>11087</v>
      </c>
      <c r="L12" s="18" t="n">
        <v>6132</v>
      </c>
      <c r="M12" s="18" t="n">
        <v>19500</v>
      </c>
      <c r="N12" s="18" t="n">
        <v>6172</v>
      </c>
      <c r="O12" s="19">
        <f>C12+E12+G12+I12+K12+M12</f>
        <v/>
      </c>
      <c r="P12" s="20">
        <f>D12+F12+H12+J12+L12+N12</f>
        <v/>
      </c>
      <c r="Q12" s="21">
        <f>P12-O12</f>
        <v/>
      </c>
    </row>
    <row r="13" ht="18" customHeight="1">
      <c r="A13" s="22" t="inlineStr">
        <is>
          <t>Corporate</t>
        </is>
      </c>
      <c r="B13" s="22" t="inlineStr">
        <is>
          <t>Guarantee</t>
        </is>
      </c>
      <c r="C13" s="23" t="n">
        <v>849</v>
      </c>
      <c r="D13" s="23" t="n">
        <v>380</v>
      </c>
      <c r="E13" s="23" t="n">
        <v>934</v>
      </c>
      <c r="F13" s="23" t="n">
        <v>288</v>
      </c>
      <c r="G13" s="23" t="n">
        <v>1019</v>
      </c>
      <c r="H13" s="23" t="n">
        <v>293</v>
      </c>
      <c r="I13" s="23" t="n">
        <v>1019</v>
      </c>
      <c r="J13" s="23" t="n">
        <v>315</v>
      </c>
      <c r="K13" s="23" t="n">
        <v>1188</v>
      </c>
      <c r="L13" s="23" t="n">
        <v>60</v>
      </c>
      <c r="M13" s="23" t="n">
        <v>2785</v>
      </c>
      <c r="N13" s="23" t="n">
        <v>0</v>
      </c>
      <c r="O13" s="24">
        <f>C13+E13+G13+I13+K13+M13</f>
        <v/>
      </c>
      <c r="P13" s="20">
        <f>D13+F13+H13+J13+L13+N13</f>
        <v/>
      </c>
      <c r="Q13" s="21">
        <f>P13-O13</f>
        <v/>
      </c>
    </row>
    <row r="14" ht="18" customHeight="1">
      <c r="A14" s="17" t="inlineStr">
        <is>
          <t>Corporate</t>
        </is>
      </c>
      <c r="B14" s="17" t="inlineStr">
        <is>
          <t>Import</t>
        </is>
      </c>
      <c r="C14" s="18" t="n">
        <v>13000</v>
      </c>
      <c r="D14" s="18" t="n">
        <v>12635</v>
      </c>
      <c r="E14" s="18" t="n">
        <v>14300</v>
      </c>
      <c r="F14" s="18" t="n">
        <v>13786</v>
      </c>
      <c r="G14" s="18" t="n">
        <v>15600</v>
      </c>
      <c r="H14" s="18" t="n">
        <v>8365</v>
      </c>
      <c r="I14" s="18" t="n">
        <v>15600</v>
      </c>
      <c r="J14" s="18" t="n">
        <v>10350</v>
      </c>
      <c r="K14" s="18" t="n">
        <v>18200</v>
      </c>
      <c r="L14" s="18" t="n">
        <v>5264</v>
      </c>
      <c r="M14" s="18" t="n">
        <v>11879</v>
      </c>
      <c r="N14" s="18" t="n">
        <v>5704</v>
      </c>
      <c r="O14" s="19">
        <f>C14+E14+G14+I14+K14+M14</f>
        <v/>
      </c>
      <c r="P14" s="20">
        <f>D14+F14+H14+J14+L14+N14</f>
        <v/>
      </c>
      <c r="Q14" s="21">
        <f>P14-O14</f>
        <v/>
      </c>
    </row>
    <row r="15" ht="20" customHeight="1">
      <c r="A15" s="25" t="inlineStr">
        <is>
          <t>TOTAL TRADE BUSINESS</t>
        </is>
      </c>
      <c r="C15" s="26">
        <f>SUM(C4:C14)</f>
        <v/>
      </c>
      <c r="D15" s="26">
        <f>SUM(D4:D14)</f>
        <v/>
      </c>
      <c r="E15" s="26">
        <f>SUM(E4:E14)</f>
        <v/>
      </c>
      <c r="F15" s="26">
        <f>SUM(F4:F14)</f>
        <v/>
      </c>
      <c r="G15" s="26">
        <f>SUM(G4:G14)</f>
        <v/>
      </c>
      <c r="H15" s="26">
        <f>SUM(H4:H14)</f>
        <v/>
      </c>
      <c r="I15" s="26">
        <f>SUM(I4:I14)</f>
        <v/>
      </c>
      <c r="J15" s="26">
        <f>SUM(J4:J14)</f>
        <v/>
      </c>
      <c r="K15" s="26">
        <f>SUM(K4:K14)</f>
        <v/>
      </c>
      <c r="L15" s="26">
        <f>SUM(L4:L14)</f>
        <v/>
      </c>
      <c r="M15" s="26">
        <f>SUM(M4:M14)</f>
        <v/>
      </c>
      <c r="N15" s="26">
        <f>SUM(N4:N14)</f>
        <v/>
      </c>
      <c r="O15" s="26">
        <f>SUM(O4:O14)</f>
        <v/>
      </c>
      <c r="P15" s="26">
        <f>SUM(P4:P14)</f>
        <v/>
      </c>
      <c r="Q15" s="26">
        <f>SUM(Q4:Q14)</f>
        <v/>
      </c>
    </row>
  </sheetData>
  <mergeCells count="3">
    <mergeCell ref="A1:O1"/>
    <mergeCell ref="A2:O2"/>
    <mergeCell ref="A15:B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 ht="40" customHeight="1">
      <c r="A1" s="1" t="inlineStr">
        <is>
          <t>DEMO TRADE BANK LIMITED — Trade Finance by AM / TL  ⚠️ FICTIONAL DATA</t>
        </is>
      </c>
    </row>
    <row r="2" ht="16" customHeight="1">
      <c r="A2" s="2" t="inlineStr">
        <is>
          <t>Rs. in Millions | YTD 2026 | All names and figures are fictional</t>
        </is>
      </c>
    </row>
    <row r="3" ht="36" customHeight="1">
      <c r="A3" s="3" t="inlineStr">
        <is>
          <t>AM / TL Name</t>
        </is>
      </c>
      <c r="B3" s="3" t="inlineStr">
        <is>
          <t>Segment</t>
        </is>
      </c>
      <c r="C3" s="3" t="inlineStr">
        <is>
          <t>Export</t>
        </is>
      </c>
      <c r="D3" s="3" t="inlineStr">
        <is>
          <t>Export Services</t>
        </is>
      </c>
      <c r="E3" s="3" t="inlineStr">
        <is>
          <t>Guarantee</t>
        </is>
      </c>
      <c r="F3" s="3" t="inlineStr">
        <is>
          <t>Import</t>
        </is>
      </c>
      <c r="G3" s="3" t="inlineStr">
        <is>
          <t>IT Exp / FL</t>
        </is>
      </c>
      <c r="H3" s="3" t="inlineStr">
        <is>
          <t>Total YTD</t>
        </is>
      </c>
    </row>
    <row r="4" ht="18" customHeight="1">
      <c r="A4" s="27" t="inlineStr">
        <is>
          <t>Tariq Mehmood</t>
        </is>
      </c>
      <c r="B4" s="8" t="inlineStr">
        <is>
          <t>Corporate</t>
        </is>
      </c>
      <c r="C4" s="9" t="n">
        <v>24238.1</v>
      </c>
      <c r="D4" s="9" t="n">
        <v>97.8</v>
      </c>
      <c r="E4" s="9" t="n">
        <v>546.4</v>
      </c>
      <c r="F4" s="9" t="n">
        <v>27279</v>
      </c>
      <c r="G4" s="9" t="n">
        <v>0</v>
      </c>
      <c r="H4" s="28">
        <f>SUM(C4:G4)</f>
        <v/>
      </c>
    </row>
    <row r="5" ht="18" customHeight="1">
      <c r="A5" s="29" t="inlineStr">
        <is>
          <t>Salman Iqbal</t>
        </is>
      </c>
      <c r="B5" s="11" t="inlineStr">
        <is>
          <t>Corporate</t>
        </is>
      </c>
      <c r="C5" s="12" t="n">
        <v>16214.5</v>
      </c>
      <c r="D5" s="12" t="n">
        <v>0</v>
      </c>
      <c r="E5" s="12" t="n">
        <v>6.4</v>
      </c>
      <c r="F5" s="12" t="n">
        <v>22241.1</v>
      </c>
      <c r="G5" s="12" t="n">
        <v>0</v>
      </c>
      <c r="H5" s="30">
        <f>SUM(C5:G5)</f>
        <v/>
      </c>
    </row>
    <row r="6" ht="18" customHeight="1">
      <c r="A6" s="27" t="inlineStr">
        <is>
          <t>Zara Hussain</t>
        </is>
      </c>
      <c r="B6" s="8" t="inlineStr">
        <is>
          <t>Commercial</t>
        </is>
      </c>
      <c r="C6" s="9" t="n">
        <v>6112</v>
      </c>
      <c r="D6" s="9" t="n">
        <v>0</v>
      </c>
      <c r="E6" s="9" t="n">
        <v>522</v>
      </c>
      <c r="F6" s="9" t="n">
        <v>7423</v>
      </c>
      <c r="G6" s="9" t="n">
        <v>7</v>
      </c>
      <c r="H6" s="28">
        <f>SUM(C6:G6)</f>
        <v/>
      </c>
    </row>
    <row r="7" ht="18" customHeight="1">
      <c r="A7" s="29" t="inlineStr">
        <is>
          <t>Faisal Khan</t>
        </is>
      </c>
      <c r="B7" s="11" t="inlineStr">
        <is>
          <t>Commercial</t>
        </is>
      </c>
      <c r="C7" s="12" t="n">
        <v>5429</v>
      </c>
      <c r="D7" s="12" t="n">
        <v>0</v>
      </c>
      <c r="E7" s="12" t="n">
        <v>1858</v>
      </c>
      <c r="F7" s="12" t="n">
        <v>6324</v>
      </c>
      <c r="G7" s="12" t="n">
        <v>30</v>
      </c>
      <c r="H7" s="30">
        <f>SUM(C7:G7)</f>
        <v/>
      </c>
    </row>
    <row r="8" ht="18" customHeight="1">
      <c r="A8" s="27" t="inlineStr">
        <is>
          <t>Nadia Baig</t>
        </is>
      </c>
      <c r="B8" s="8" t="inlineStr">
        <is>
          <t>Commercial</t>
        </is>
      </c>
      <c r="C8" s="9" t="n">
        <v>4540</v>
      </c>
      <c r="D8" s="9" t="n">
        <v>26</v>
      </c>
      <c r="E8" s="9" t="n">
        <v>835</v>
      </c>
      <c r="F8" s="9" t="n">
        <v>9475</v>
      </c>
      <c r="G8" s="9" t="n">
        <v>37</v>
      </c>
      <c r="H8" s="28">
        <f>SUM(C8:G8)</f>
        <v/>
      </c>
    </row>
    <row r="9" ht="18" customHeight="1">
      <c r="A9" s="29" t="inlineStr">
        <is>
          <t>Omar Siddiqui</t>
        </is>
      </c>
      <c r="B9" s="11" t="inlineStr">
        <is>
          <t>SME &amp; Dist.</t>
        </is>
      </c>
      <c r="C9" s="12" t="n">
        <v>2123</v>
      </c>
      <c r="D9" s="12" t="n">
        <v>362</v>
      </c>
      <c r="E9" s="12" t="n">
        <v>490</v>
      </c>
      <c r="F9" s="12" t="n">
        <v>5950</v>
      </c>
      <c r="G9" s="12" t="n">
        <v>1255</v>
      </c>
      <c r="H9" s="30">
        <f>SUM(C9:G9)</f>
        <v/>
      </c>
    </row>
    <row r="10" ht="18" customHeight="1">
      <c r="A10" s="27" t="inlineStr">
        <is>
          <t>Ayesha Noor</t>
        </is>
      </c>
      <c r="B10" s="8" t="inlineStr">
        <is>
          <t>SME &amp; Dist.</t>
        </is>
      </c>
      <c r="C10" s="9" t="n">
        <v>1758</v>
      </c>
      <c r="D10" s="9" t="n">
        <v>529</v>
      </c>
      <c r="E10" s="9" t="n">
        <v>240</v>
      </c>
      <c r="F10" s="9" t="n">
        <v>3672</v>
      </c>
      <c r="G10" s="9" t="n">
        <v>1077</v>
      </c>
      <c r="H10" s="28">
        <f>SUM(C10:G10)</f>
        <v/>
      </c>
    </row>
    <row r="11" ht="18" customHeight="1">
      <c r="A11" s="29" t="inlineStr">
        <is>
          <t>Hassan Raza</t>
        </is>
      </c>
      <c r="B11" s="11" t="inlineStr">
        <is>
          <t>SME &amp; Dist.</t>
        </is>
      </c>
      <c r="C11" s="12" t="n">
        <v>1800</v>
      </c>
      <c r="D11" s="12" t="n">
        <v>448</v>
      </c>
      <c r="E11" s="12" t="n">
        <v>186</v>
      </c>
      <c r="F11" s="12" t="n">
        <v>4182</v>
      </c>
      <c r="G11" s="12" t="n">
        <v>1045</v>
      </c>
      <c r="H11" s="30">
        <f>SUM(C11:G11)</f>
        <v/>
      </c>
    </row>
    <row r="12" ht="18" customHeight="1">
      <c r="A12" s="27" t="inlineStr">
        <is>
          <t>Bilal Ahmed</t>
        </is>
      </c>
      <c r="B12" s="8" t="inlineStr">
        <is>
          <t>SME &amp; Dist.</t>
        </is>
      </c>
      <c r="C12" s="9" t="n">
        <v>1522</v>
      </c>
      <c r="D12" s="9" t="n">
        <v>473</v>
      </c>
      <c r="E12" s="9" t="n">
        <v>621</v>
      </c>
      <c r="F12" s="9" t="n">
        <v>4441</v>
      </c>
      <c r="G12" s="9" t="n">
        <v>1163</v>
      </c>
      <c r="H12" s="28">
        <f>SUM(C12:G12)</f>
        <v/>
      </c>
    </row>
    <row r="13" ht="18" customHeight="1">
      <c r="A13" s="29" t="inlineStr">
        <is>
          <t>Sana Malik</t>
        </is>
      </c>
      <c r="B13" s="11" t="inlineStr">
        <is>
          <t>SME &amp; Dist.</t>
        </is>
      </c>
      <c r="C13" s="12" t="n">
        <v>1388</v>
      </c>
      <c r="D13" s="12" t="n">
        <v>361</v>
      </c>
      <c r="E13" s="12" t="n">
        <v>119</v>
      </c>
      <c r="F13" s="12" t="n">
        <v>3788</v>
      </c>
      <c r="G13" s="12" t="n">
        <v>1167</v>
      </c>
      <c r="H13" s="30">
        <f>SUM(C13:G13)</f>
        <v/>
      </c>
    </row>
    <row r="14">
      <c r="A14" s="25" t="inlineStr">
        <is>
          <t>GRAND TOTAL</t>
        </is>
      </c>
      <c r="C14" s="15">
        <f>SUM(C4:C13)</f>
        <v/>
      </c>
      <c r="D14" s="15">
        <f>SUM(D4:D13)</f>
        <v/>
      </c>
      <c r="E14" s="15">
        <f>SUM(E4:E13)</f>
        <v/>
      </c>
      <c r="F14" s="15">
        <f>SUM(F4:F13)</f>
        <v/>
      </c>
      <c r="G14" s="15">
        <f>SUM(G4:G13)</f>
        <v/>
      </c>
      <c r="H14" s="15">
        <f>SUM(H4:H13)</f>
        <v/>
      </c>
    </row>
  </sheetData>
  <mergeCells count="3">
    <mergeCell ref="A14:B14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6" customWidth="1" min="3" max="3"/>
    <col width="20" customWidth="1" min="4" max="4"/>
    <col width="16" customWidth="1" min="5" max="5"/>
    <col width="8" customWidth="1" min="6" max="6"/>
    <col width="14" customWidth="1" min="7" max="7"/>
    <col width="14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8" customWidth="1" min="14" max="14"/>
    <col width="18" customWidth="1" min="15" max="15"/>
    <col width="16" customWidth="1" min="16" max="16"/>
    <col width="16" customWidth="1" min="17" max="17"/>
  </cols>
  <sheetData>
    <row r="1" ht="40" customHeight="1">
      <c r="A1" s="1" t="inlineStr">
        <is>
          <t>DEMO TRADE BANK LIMITED — Transaction Master  ⚠️ 100% FICTIONAL DATA — For Demo Only</t>
        </is>
      </c>
    </row>
    <row r="2" ht="16" customHeight="1">
      <c r="A2" s="2" t="inlineStr">
        <is>
          <t>All CIFs, bill numbers, amounts, customer names and references are entirely fictitious</t>
        </is>
      </c>
    </row>
    <row r="3" ht="36" customHeight="1">
      <c r="A3" s="3" t="inlineStr">
        <is>
          <t>CIF (Fictional)</t>
        </is>
      </c>
      <c r="B3" s="3" t="inlineStr">
        <is>
          <t>Branch
(Fictional)</t>
        </is>
      </c>
      <c r="C3" s="3" t="inlineStr">
        <is>
          <t>Segment</t>
        </is>
      </c>
      <c r="D3" s="3" t="inlineStr">
        <is>
          <t>AM / TL Name</t>
        </is>
      </c>
      <c r="E3" s="3" t="inlineStr">
        <is>
          <t>Instrument Type</t>
        </is>
      </c>
      <c r="F3" s="3" t="inlineStr">
        <is>
          <t>Currency</t>
        </is>
      </c>
      <c r="G3" s="3" t="inlineStr">
        <is>
          <t>FCY Amount</t>
        </is>
      </c>
      <c r="H3" s="3" t="inlineStr">
        <is>
          <t>PKR Amount</t>
        </is>
      </c>
      <c r="I3" s="3" t="inlineStr">
        <is>
          <t>Amt (Mn)</t>
        </is>
      </c>
      <c r="J3" s="3" t="inlineStr">
        <is>
          <t>Month</t>
        </is>
      </c>
      <c r="K3" s="3" t="inlineStr">
        <is>
          <t>Bill No.
(Fictional)</t>
        </is>
      </c>
      <c r="L3" s="3" t="inlineStr">
        <is>
          <t>Bill Date</t>
        </is>
      </c>
      <c r="M3" s="3" t="inlineStr">
        <is>
          <t>Due Date</t>
        </is>
      </c>
      <c r="N3" s="3" t="inlineStr">
        <is>
          <t>Status</t>
        </is>
      </c>
      <c r="O3" s="3" t="inlineStr">
        <is>
          <t>Commodity</t>
        </is>
      </c>
      <c r="P3" s="3" t="inlineStr">
        <is>
          <t>Country</t>
        </is>
      </c>
      <c r="Q3" s="3" t="inlineStr">
        <is>
          <t>Doc Type</t>
        </is>
      </c>
    </row>
    <row r="4" ht="16" customHeight="1">
      <c r="A4" s="31" t="inlineStr">
        <is>
          <t>33435</t>
        </is>
      </c>
      <c r="B4" s="31" t="inlineStr">
        <is>
          <t>4772</t>
        </is>
      </c>
      <c r="C4" s="17" t="inlineStr">
        <is>
          <t>Commercial</t>
        </is>
      </c>
      <c r="D4" s="17" t="inlineStr">
        <is>
          <t>Ayesha Noor</t>
        </is>
      </c>
      <c r="E4" s="17" t="inlineStr">
        <is>
          <t>Import</t>
        </is>
      </c>
      <c r="F4" s="17" t="inlineStr">
        <is>
          <t>AED</t>
        </is>
      </c>
      <c r="G4" s="32" t="n">
        <v>91647.10000000001</v>
      </c>
      <c r="H4" s="33" t="n">
        <v>7001838.44</v>
      </c>
      <c r="I4" s="34" t="n">
        <v>7.0018</v>
      </c>
      <c r="J4" s="17" t="inlineStr">
        <is>
          <t>Feb-26</t>
        </is>
      </c>
      <c r="K4" s="31" t="inlineStr">
        <is>
          <t>51004</t>
        </is>
      </c>
      <c r="L4" s="17" t="inlineStr">
        <is>
          <t>Jan-20-26</t>
        </is>
      </c>
      <c r="M4" s="17" t="inlineStr">
        <is>
          <t>Apr-16-26</t>
        </is>
      </c>
      <c r="N4" s="17" t="inlineStr">
        <is>
          <t>Z</t>
        </is>
      </c>
      <c r="O4" s="35" t="inlineStr">
        <is>
          <t>FRUIT PRODUCE</t>
        </is>
      </c>
      <c r="P4" s="17" t="inlineStr">
        <is>
          <t>Turkey</t>
        </is>
      </c>
      <c r="Q4" s="17" t="inlineStr">
        <is>
          <t>FDBC DP</t>
        </is>
      </c>
    </row>
    <row r="5" ht="16" customHeight="1">
      <c r="A5" s="36" t="inlineStr">
        <is>
          <t>38402</t>
        </is>
      </c>
      <c r="B5" s="36" t="inlineStr">
        <is>
          <t>7127</t>
        </is>
      </c>
      <c r="C5" s="22" t="inlineStr">
        <is>
          <t>Corporate</t>
        </is>
      </c>
      <c r="D5" s="22" t="inlineStr">
        <is>
          <t>Ayesha Noor</t>
        </is>
      </c>
      <c r="E5" s="22" t="inlineStr">
        <is>
          <t>IT Exporters / Freelancers</t>
        </is>
      </c>
      <c r="F5" s="22" t="inlineStr">
        <is>
          <t>AED</t>
        </is>
      </c>
      <c r="G5" s="37" t="n">
        <v>78343.85000000001</v>
      </c>
      <c r="H5" s="38" t="n">
        <v>5985470.14</v>
      </c>
      <c r="I5" s="39" t="n">
        <v>5.9855</v>
      </c>
      <c r="J5" s="22" t="inlineStr">
        <is>
          <t>Apr-26</t>
        </is>
      </c>
      <c r="K5" s="36" t="inlineStr">
        <is>
          <t>51018</t>
        </is>
      </c>
      <c r="L5" s="22" t="inlineStr">
        <is>
          <t>Jan-11-26</t>
        </is>
      </c>
      <c r="M5" s="22" t="inlineStr">
        <is>
          <t>Apr-3-26</t>
        </is>
      </c>
      <c r="N5" s="22" t="inlineStr">
        <is>
          <t>Z</t>
        </is>
      </c>
      <c r="O5" s="40" t="inlineStr">
        <is>
          <t>CHEMICAL PRODUCTS</t>
        </is>
      </c>
      <c r="P5" s="22" t="inlineStr">
        <is>
          <t>UAE</t>
        </is>
      </c>
      <c r="Q5" s="22" t="inlineStr">
        <is>
          <t>Exp Advance Payment</t>
        </is>
      </c>
    </row>
    <row r="6" ht="16" customHeight="1">
      <c r="A6" s="31" t="inlineStr">
        <is>
          <t>51468</t>
        </is>
      </c>
      <c r="B6" s="31" t="inlineStr">
        <is>
          <t>7596</t>
        </is>
      </c>
      <c r="C6" s="17" t="inlineStr">
        <is>
          <t>SME &amp; Distribution</t>
        </is>
      </c>
      <c r="D6" s="17" t="inlineStr">
        <is>
          <t>Bilal Ahmed</t>
        </is>
      </c>
      <c r="E6" s="17" t="inlineStr">
        <is>
          <t>Export</t>
        </is>
      </c>
      <c r="F6" s="17" t="inlineStr">
        <is>
          <t>PKR</t>
        </is>
      </c>
      <c r="G6" s="32" t="n">
        <v>7628.83</v>
      </c>
      <c r="H6" s="33" t="n">
        <v>7628.83</v>
      </c>
      <c r="I6" s="34" t="n">
        <v>0.0076</v>
      </c>
      <c r="J6" s="17" t="inlineStr">
        <is>
          <t>Mar-26</t>
        </is>
      </c>
      <c r="K6" s="31" t="inlineStr">
        <is>
          <t>51019</t>
        </is>
      </c>
      <c r="L6" s="17" t="inlineStr">
        <is>
          <t>Jan-15-26</t>
        </is>
      </c>
      <c r="M6" s="17" t="inlineStr">
        <is>
          <t>Apr-17-26</t>
        </is>
      </c>
      <c r="N6" s="17" t="inlineStr">
        <is>
          <t>P</t>
        </is>
      </c>
      <c r="O6" s="35" t="inlineStr">
        <is>
          <t>SPORTS GOODS</t>
        </is>
      </c>
      <c r="P6" s="17" t="inlineStr">
        <is>
          <t>Turkey</t>
        </is>
      </c>
      <c r="Q6" s="17" t="inlineStr">
        <is>
          <t>FDBC DP</t>
        </is>
      </c>
    </row>
    <row r="7" ht="16" customHeight="1">
      <c r="A7" s="36" t="inlineStr">
        <is>
          <t>56861</t>
        </is>
      </c>
      <c r="B7" s="36" t="inlineStr">
        <is>
          <t>3115</t>
        </is>
      </c>
      <c r="C7" s="22" t="inlineStr">
        <is>
          <t>Corporate</t>
        </is>
      </c>
      <c r="D7" s="22" t="inlineStr">
        <is>
          <t>Sana Malik</t>
        </is>
      </c>
      <c r="E7" s="22" t="inlineStr">
        <is>
          <t>Export Services</t>
        </is>
      </c>
      <c r="F7" s="22" t="inlineStr">
        <is>
          <t>USD</t>
        </is>
      </c>
      <c r="G7" s="37" t="n">
        <v>262890.37</v>
      </c>
      <c r="H7" s="38" t="n">
        <v>73740748.78</v>
      </c>
      <c r="I7" s="39" t="n">
        <v>73.7407</v>
      </c>
      <c r="J7" s="22" t="inlineStr">
        <is>
          <t>Jun-26</t>
        </is>
      </c>
      <c r="K7" s="36" t="inlineStr">
        <is>
          <t>51023</t>
        </is>
      </c>
      <c r="L7" s="22" t="inlineStr">
        <is>
          <t>Jan-22-26</t>
        </is>
      </c>
      <c r="M7" s="22" t="inlineStr">
        <is>
          <t>Apr-6-26</t>
        </is>
      </c>
      <c r="N7" s="22" t="inlineStr">
        <is>
          <t>Z</t>
        </is>
      </c>
      <c r="O7" s="40" t="inlineStr">
        <is>
          <t>ENGINEERING GOODS</t>
        </is>
      </c>
      <c r="P7" s="22" t="inlineStr">
        <is>
          <t>UAE</t>
        </is>
      </c>
      <c r="Q7" s="22" t="inlineStr">
        <is>
          <t>Exp Advance Payment</t>
        </is>
      </c>
    </row>
    <row r="8" ht="16" customHeight="1">
      <c r="A8" s="31" t="inlineStr">
        <is>
          <t>72092</t>
        </is>
      </c>
      <c r="B8" s="31" t="inlineStr">
        <is>
          <t>7865</t>
        </is>
      </c>
      <c r="C8" s="17" t="inlineStr">
        <is>
          <t>Corporate</t>
        </is>
      </c>
      <c r="D8" s="17" t="inlineStr">
        <is>
          <t>Salman Iqbal</t>
        </is>
      </c>
      <c r="E8" s="17" t="inlineStr">
        <is>
          <t>Export</t>
        </is>
      </c>
      <c r="F8" s="17" t="inlineStr">
        <is>
          <t>EUR</t>
        </is>
      </c>
      <c r="G8" s="32" t="n">
        <v>34676.52</v>
      </c>
      <c r="H8" s="33" t="n">
        <v>10583273.9</v>
      </c>
      <c r="I8" s="34" t="n">
        <v>10.5833</v>
      </c>
      <c r="J8" s="17" t="inlineStr">
        <is>
          <t>Apr-26</t>
        </is>
      </c>
      <c r="K8" s="31" t="inlineStr">
        <is>
          <t>51025</t>
        </is>
      </c>
      <c r="L8" s="17" t="inlineStr">
        <is>
          <t>Jan-11-26</t>
        </is>
      </c>
      <c r="M8" s="17" t="inlineStr">
        <is>
          <t>Apr-5-26</t>
        </is>
      </c>
      <c r="N8" s="17" t="inlineStr">
        <is>
          <t>Z</t>
        </is>
      </c>
      <c r="O8" s="35" t="inlineStr">
        <is>
          <t>ENGINEERING GOODS</t>
        </is>
      </c>
      <c r="P8" s="17" t="inlineStr">
        <is>
          <t>China</t>
        </is>
      </c>
      <c r="Q8" s="17" t="inlineStr">
        <is>
          <t>LC Usance</t>
        </is>
      </c>
    </row>
    <row r="9" ht="16" customHeight="1">
      <c r="A9" s="36" t="inlineStr">
        <is>
          <t>93942</t>
        </is>
      </c>
      <c r="B9" s="36" t="inlineStr">
        <is>
          <t>4464</t>
        </is>
      </c>
      <c r="C9" s="22" t="inlineStr">
        <is>
          <t>SME &amp; Distribution</t>
        </is>
      </c>
      <c r="D9" s="22" t="inlineStr">
        <is>
          <t>Ayesha Noor</t>
        </is>
      </c>
      <c r="E9" s="22" t="inlineStr">
        <is>
          <t>Import</t>
        </is>
      </c>
      <c r="F9" s="22" t="inlineStr">
        <is>
          <t>USD</t>
        </is>
      </c>
      <c r="G9" s="37" t="n">
        <v>144403.34</v>
      </c>
      <c r="H9" s="38" t="n">
        <v>40505136.87</v>
      </c>
      <c r="I9" s="39" t="n">
        <v>40.5051</v>
      </c>
      <c r="J9" s="22" t="inlineStr">
        <is>
          <t>Mar-26</t>
        </is>
      </c>
      <c r="K9" s="36" t="inlineStr">
        <is>
          <t>51033</t>
        </is>
      </c>
      <c r="L9" s="22" t="inlineStr">
        <is>
          <t>Jan-5-26</t>
        </is>
      </c>
      <c r="M9" s="22" t="inlineStr">
        <is>
          <t>Apr-24-26</t>
        </is>
      </c>
      <c r="N9" s="22" t="inlineStr">
        <is>
          <t>P</t>
        </is>
      </c>
      <c r="O9" s="40" t="inlineStr">
        <is>
          <t>SPORTS GOODS</t>
        </is>
      </c>
      <c r="P9" s="22" t="inlineStr">
        <is>
          <t>Bangladesh</t>
        </is>
      </c>
      <c r="Q9" s="22" t="inlineStr">
        <is>
          <t>FDBC DP</t>
        </is>
      </c>
    </row>
    <row r="10" ht="16" customHeight="1">
      <c r="A10" s="31" t="inlineStr">
        <is>
          <t>63516</t>
        </is>
      </c>
      <c r="B10" s="31" t="inlineStr">
        <is>
          <t>3037</t>
        </is>
      </c>
      <c r="C10" s="17" t="inlineStr">
        <is>
          <t>SME &amp; Distribution</t>
        </is>
      </c>
      <c r="D10" s="17" t="inlineStr">
        <is>
          <t>Sana Malik</t>
        </is>
      </c>
      <c r="E10" s="17" t="inlineStr">
        <is>
          <t>Import</t>
        </is>
      </c>
      <c r="F10" s="17" t="inlineStr">
        <is>
          <t>AED</t>
        </is>
      </c>
      <c r="G10" s="32" t="n">
        <v>107110.97</v>
      </c>
      <c r="H10" s="33" t="n">
        <v>8183278.11</v>
      </c>
      <c r="I10" s="34" t="n">
        <v>8.183299999999999</v>
      </c>
      <c r="J10" s="17" t="inlineStr">
        <is>
          <t>Jan-26</t>
        </is>
      </c>
      <c r="K10" s="31" t="inlineStr">
        <is>
          <t>51035</t>
        </is>
      </c>
      <c r="L10" s="17" t="inlineStr">
        <is>
          <t>Jan-18-26</t>
        </is>
      </c>
      <c r="M10" s="17" t="inlineStr">
        <is>
          <t>Apr-11-26</t>
        </is>
      </c>
      <c r="N10" s="17" t="inlineStr">
        <is>
          <t>P</t>
        </is>
      </c>
      <c r="O10" s="35" t="inlineStr">
        <is>
          <t>SALT MINERALS</t>
        </is>
      </c>
      <c r="P10" s="17" t="inlineStr">
        <is>
          <t>UAE</t>
        </is>
      </c>
      <c r="Q10" s="17" t="inlineStr">
        <is>
          <t>FDBC DA</t>
        </is>
      </c>
    </row>
    <row r="11" ht="16" customHeight="1">
      <c r="A11" s="36" t="inlineStr">
        <is>
          <t>57409</t>
        </is>
      </c>
      <c r="B11" s="36" t="inlineStr">
        <is>
          <t>4046</t>
        </is>
      </c>
      <c r="C11" s="22" t="inlineStr">
        <is>
          <t>Commercial</t>
        </is>
      </c>
      <c r="D11" s="22" t="inlineStr">
        <is>
          <t>Faisal Khan</t>
        </is>
      </c>
      <c r="E11" s="22" t="inlineStr">
        <is>
          <t>Guarantee</t>
        </is>
      </c>
      <c r="F11" s="22" t="inlineStr">
        <is>
          <t>USD</t>
        </is>
      </c>
      <c r="G11" s="37" t="n">
        <v>104261.43</v>
      </c>
      <c r="H11" s="38" t="n">
        <v>29245331.11</v>
      </c>
      <c r="I11" s="39" t="n">
        <v>29.2453</v>
      </c>
      <c r="J11" s="22" t="inlineStr">
        <is>
          <t>Jan-26</t>
        </is>
      </c>
      <c r="K11" s="36" t="inlineStr">
        <is>
          <t>51046</t>
        </is>
      </c>
      <c r="L11" s="22" t="inlineStr">
        <is>
          <t>Jan-13-26</t>
        </is>
      </c>
      <c r="M11" s="22" t="inlineStr">
        <is>
          <t>Apr-11-26</t>
        </is>
      </c>
      <c r="N11" s="22" t="inlineStr">
        <is>
          <t>P</t>
        </is>
      </c>
      <c r="O11" s="40" t="inlineStr">
        <is>
          <t>SPORTS GOODS</t>
        </is>
      </c>
      <c r="P11" s="22" t="inlineStr">
        <is>
          <t>United Kingdom</t>
        </is>
      </c>
      <c r="Q11" s="22" t="inlineStr">
        <is>
          <t>LC Usance</t>
        </is>
      </c>
    </row>
    <row r="12" ht="16" customHeight="1">
      <c r="A12" s="31" t="inlineStr">
        <is>
          <t>80040</t>
        </is>
      </c>
      <c r="B12" s="31" t="inlineStr">
        <is>
          <t>2518</t>
        </is>
      </c>
      <c r="C12" s="17" t="inlineStr">
        <is>
          <t>Commercial</t>
        </is>
      </c>
      <c r="D12" s="17" t="inlineStr">
        <is>
          <t>Ayesha Noor</t>
        </is>
      </c>
      <c r="E12" s="17" t="inlineStr">
        <is>
          <t>Export Services</t>
        </is>
      </c>
      <c r="F12" s="17" t="inlineStr">
        <is>
          <t>GBP</t>
        </is>
      </c>
      <c r="G12" s="32" t="n">
        <v>253972.71</v>
      </c>
      <c r="H12" s="33" t="n">
        <v>90363490.22</v>
      </c>
      <c r="I12" s="34" t="n">
        <v>90.3635</v>
      </c>
      <c r="J12" s="17" t="inlineStr">
        <is>
          <t>Jan-26</t>
        </is>
      </c>
      <c r="K12" s="31" t="inlineStr">
        <is>
          <t>51049</t>
        </is>
      </c>
      <c r="L12" s="17" t="inlineStr">
        <is>
          <t>Jan-28-26</t>
        </is>
      </c>
      <c r="M12" s="17" t="inlineStr">
        <is>
          <t>Apr-21-26</t>
        </is>
      </c>
      <c r="N12" s="17" t="inlineStr">
        <is>
          <t>Z</t>
        </is>
      </c>
      <c r="O12" s="35" t="inlineStr">
        <is>
          <t>FROZEN FISH</t>
        </is>
      </c>
      <c r="P12" s="17" t="inlineStr">
        <is>
          <t>United Kingdom</t>
        </is>
      </c>
      <c r="Q12" s="17" t="inlineStr">
        <is>
          <t>LC Sight</t>
        </is>
      </c>
    </row>
    <row r="13" ht="16" customHeight="1">
      <c r="A13" s="36" t="inlineStr">
        <is>
          <t>38652</t>
        </is>
      </c>
      <c r="B13" s="36" t="inlineStr">
        <is>
          <t>5091</t>
        </is>
      </c>
      <c r="C13" s="22" t="inlineStr">
        <is>
          <t>Corporate</t>
        </is>
      </c>
      <c r="D13" s="22" t="inlineStr">
        <is>
          <t>Nadia Baig</t>
        </is>
      </c>
      <c r="E13" s="22" t="inlineStr">
        <is>
          <t>Export</t>
        </is>
      </c>
      <c r="F13" s="22" t="inlineStr">
        <is>
          <t>GBP</t>
        </is>
      </c>
      <c r="G13" s="37" t="n">
        <v>264269.66</v>
      </c>
      <c r="H13" s="38" t="n">
        <v>94027145.03</v>
      </c>
      <c r="I13" s="39" t="n">
        <v>94.0271</v>
      </c>
      <c r="J13" s="22" t="inlineStr">
        <is>
          <t>Mar-26</t>
        </is>
      </c>
      <c r="K13" s="36" t="inlineStr">
        <is>
          <t>51056</t>
        </is>
      </c>
      <c r="L13" s="22" t="inlineStr">
        <is>
          <t>Jan-3-26</t>
        </is>
      </c>
      <c r="M13" s="22" t="inlineStr">
        <is>
          <t>Apr-17-26</t>
        </is>
      </c>
      <c r="N13" s="22" t="inlineStr">
        <is>
          <t>P</t>
        </is>
      </c>
      <c r="O13" s="40" t="inlineStr">
        <is>
          <t>FROZEN FISH</t>
        </is>
      </c>
      <c r="P13" s="22" t="inlineStr">
        <is>
          <t>Netherlands</t>
        </is>
      </c>
      <c r="Q13" s="22" t="inlineStr">
        <is>
          <t>LC Sight</t>
        </is>
      </c>
    </row>
    <row r="14" ht="16" customHeight="1">
      <c r="A14" s="31" t="inlineStr">
        <is>
          <t>26682</t>
        </is>
      </c>
      <c r="B14" s="31" t="inlineStr">
        <is>
          <t>5207</t>
        </is>
      </c>
      <c r="C14" s="17" t="inlineStr">
        <is>
          <t>Commercial</t>
        </is>
      </c>
      <c r="D14" s="17" t="inlineStr">
        <is>
          <t>Omar Siddiqui</t>
        </is>
      </c>
      <c r="E14" s="17" t="inlineStr">
        <is>
          <t>Export Services</t>
        </is>
      </c>
      <c r="F14" s="17" t="inlineStr">
        <is>
          <t>AED</t>
        </is>
      </c>
      <c r="G14" s="32" t="n">
        <v>338999.36</v>
      </c>
      <c r="H14" s="33" t="n">
        <v>25899551.1</v>
      </c>
      <c r="I14" s="34" t="n">
        <v>25.8996</v>
      </c>
      <c r="J14" s="17" t="inlineStr">
        <is>
          <t>Mar-26</t>
        </is>
      </c>
      <c r="K14" s="31" t="inlineStr">
        <is>
          <t>51063</t>
        </is>
      </c>
      <c r="L14" s="17" t="inlineStr">
        <is>
          <t>Jan-22-26</t>
        </is>
      </c>
      <c r="M14" s="17" t="inlineStr">
        <is>
          <t>Apr-20-26</t>
        </is>
      </c>
      <c r="N14" s="17" t="inlineStr">
        <is>
          <t>P</t>
        </is>
      </c>
      <c r="O14" s="35" t="inlineStr">
        <is>
          <t>LEATHER GOODS</t>
        </is>
      </c>
      <c r="P14" s="17" t="inlineStr">
        <is>
          <t>Netherlands</t>
        </is>
      </c>
      <c r="Q14" s="17" t="inlineStr">
        <is>
          <t>Inland LC Sight</t>
        </is>
      </c>
    </row>
    <row r="15" ht="16" customHeight="1">
      <c r="A15" s="36" t="inlineStr">
        <is>
          <t>54151</t>
        </is>
      </c>
      <c r="B15" s="36" t="inlineStr">
        <is>
          <t>4238</t>
        </is>
      </c>
      <c r="C15" s="22" t="inlineStr">
        <is>
          <t>SME &amp; Distribution</t>
        </is>
      </c>
      <c r="D15" s="22" t="inlineStr">
        <is>
          <t>Hassan Raza</t>
        </is>
      </c>
      <c r="E15" s="22" t="inlineStr">
        <is>
          <t>Import</t>
        </is>
      </c>
      <c r="F15" s="22" t="inlineStr">
        <is>
          <t>PKR</t>
        </is>
      </c>
      <c r="G15" s="37" t="n">
        <v>127574.77</v>
      </c>
      <c r="H15" s="38" t="n">
        <v>127574.77</v>
      </c>
      <c r="I15" s="39" t="n">
        <v>0.1276</v>
      </c>
      <c r="J15" s="22" t="inlineStr">
        <is>
          <t>Jan-26</t>
        </is>
      </c>
      <c r="K15" s="36" t="inlineStr">
        <is>
          <t>51069</t>
        </is>
      </c>
      <c r="L15" s="22" t="inlineStr">
        <is>
          <t>Jan-9-26</t>
        </is>
      </c>
      <c r="M15" s="22" t="inlineStr">
        <is>
          <t>Apr-22-26</t>
        </is>
      </c>
      <c r="N15" s="22" t="inlineStr">
        <is>
          <t>Z</t>
        </is>
      </c>
      <c r="O15" s="40" t="inlineStr">
        <is>
          <t>SURGICAL ITEMS</t>
        </is>
      </c>
      <c r="P15" s="22" t="inlineStr">
        <is>
          <t>UAE</t>
        </is>
      </c>
      <c r="Q15" s="22" t="inlineStr">
        <is>
          <t>Inland LC Sight</t>
        </is>
      </c>
    </row>
    <row r="16" ht="16" customHeight="1">
      <c r="A16" s="31" t="inlineStr">
        <is>
          <t>96056</t>
        </is>
      </c>
      <c r="B16" s="31" t="inlineStr">
        <is>
          <t>7551</t>
        </is>
      </c>
      <c r="C16" s="17" t="inlineStr">
        <is>
          <t>Commercial</t>
        </is>
      </c>
      <c r="D16" s="17" t="inlineStr">
        <is>
          <t>Faisal Khan</t>
        </is>
      </c>
      <c r="E16" s="17" t="inlineStr">
        <is>
          <t>Export Services</t>
        </is>
      </c>
      <c r="F16" s="17" t="inlineStr">
        <is>
          <t>GBP</t>
        </is>
      </c>
      <c r="G16" s="32" t="n">
        <v>188453.21</v>
      </c>
      <c r="H16" s="33" t="n">
        <v>67051652.12</v>
      </c>
      <c r="I16" s="34" t="n">
        <v>67.0517</v>
      </c>
      <c r="J16" s="17" t="inlineStr">
        <is>
          <t>Jan-26</t>
        </is>
      </c>
      <c r="K16" s="31" t="inlineStr">
        <is>
          <t>51070</t>
        </is>
      </c>
      <c r="L16" s="17" t="inlineStr">
        <is>
          <t>Jan-24-26</t>
        </is>
      </c>
      <c r="M16" s="17" t="inlineStr">
        <is>
          <t>Apr-6-26</t>
        </is>
      </c>
      <c r="N16" s="17" t="inlineStr">
        <is>
          <t>P</t>
        </is>
      </c>
      <c r="O16" s="35" t="inlineStr">
        <is>
          <t>FRUIT PRODUCE</t>
        </is>
      </c>
      <c r="P16" s="17" t="inlineStr">
        <is>
          <t>United States</t>
        </is>
      </c>
      <c r="Q16" s="17" t="inlineStr">
        <is>
          <t>Inland LC Sight</t>
        </is>
      </c>
    </row>
    <row r="17" ht="16" customHeight="1">
      <c r="A17" s="36" t="inlineStr">
        <is>
          <t>64635</t>
        </is>
      </c>
      <c r="B17" s="36" t="inlineStr">
        <is>
          <t>8668</t>
        </is>
      </c>
      <c r="C17" s="22" t="inlineStr">
        <is>
          <t>SME &amp; Distribution</t>
        </is>
      </c>
      <c r="D17" s="22" t="inlineStr">
        <is>
          <t>Hassan Raza</t>
        </is>
      </c>
      <c r="E17" s="22" t="inlineStr">
        <is>
          <t>Import</t>
        </is>
      </c>
      <c r="F17" s="22" t="inlineStr">
        <is>
          <t>GBP</t>
        </is>
      </c>
      <c r="G17" s="37" t="n">
        <v>218832.3</v>
      </c>
      <c r="H17" s="38" t="n">
        <v>77860532.34</v>
      </c>
      <c r="I17" s="39" t="n">
        <v>77.8605</v>
      </c>
      <c r="J17" s="22" t="inlineStr">
        <is>
          <t>May-26</t>
        </is>
      </c>
      <c r="K17" s="36" t="inlineStr">
        <is>
          <t>51079</t>
        </is>
      </c>
      <c r="L17" s="22" t="inlineStr">
        <is>
          <t>Jan-26-26</t>
        </is>
      </c>
      <c r="M17" s="22" t="inlineStr">
        <is>
          <t>Apr-10-26</t>
        </is>
      </c>
      <c r="N17" s="22" t="inlineStr">
        <is>
          <t>Z</t>
        </is>
      </c>
      <c r="O17" s="40" t="inlineStr">
        <is>
          <t>SURGICAL ITEMS</t>
        </is>
      </c>
      <c r="P17" s="22" t="inlineStr">
        <is>
          <t>China</t>
        </is>
      </c>
      <c r="Q17" s="22" t="inlineStr">
        <is>
          <t>FDBC DP</t>
        </is>
      </c>
    </row>
    <row r="18" ht="16" customHeight="1">
      <c r="A18" s="31" t="inlineStr">
        <is>
          <t>64627</t>
        </is>
      </c>
      <c r="B18" s="31" t="inlineStr">
        <is>
          <t>5910</t>
        </is>
      </c>
      <c r="C18" s="17" t="inlineStr">
        <is>
          <t>Corporate</t>
        </is>
      </c>
      <c r="D18" s="17" t="inlineStr">
        <is>
          <t>Sana Malik</t>
        </is>
      </c>
      <c r="E18" s="17" t="inlineStr">
        <is>
          <t>Export</t>
        </is>
      </c>
      <c r="F18" s="17" t="inlineStr">
        <is>
          <t>USD</t>
        </is>
      </c>
      <c r="G18" s="32" t="n">
        <v>332167.92</v>
      </c>
      <c r="H18" s="33" t="n">
        <v>93173101.56</v>
      </c>
      <c r="I18" s="34" t="n">
        <v>93.17310000000001</v>
      </c>
      <c r="J18" s="17" t="inlineStr">
        <is>
          <t>May-26</t>
        </is>
      </c>
      <c r="K18" s="31" t="inlineStr">
        <is>
          <t>51085</t>
        </is>
      </c>
      <c r="L18" s="17" t="inlineStr">
        <is>
          <t>Jan-13-26</t>
        </is>
      </c>
      <c r="M18" s="17" t="inlineStr">
        <is>
          <t>Apr-26-26</t>
        </is>
      </c>
      <c r="N18" s="17" t="inlineStr">
        <is>
          <t>Z</t>
        </is>
      </c>
      <c r="O18" s="35" t="inlineStr">
        <is>
          <t>SURGICAL ITEMS</t>
        </is>
      </c>
      <c r="P18" s="17" t="inlineStr">
        <is>
          <t>Germany</t>
        </is>
      </c>
      <c r="Q18" s="17" t="inlineStr">
        <is>
          <t>LC Usance</t>
        </is>
      </c>
    </row>
    <row r="19" ht="16" customHeight="1">
      <c r="A19" s="36" t="inlineStr">
        <is>
          <t>26838</t>
        </is>
      </c>
      <c r="B19" s="36" t="inlineStr">
        <is>
          <t>3140</t>
        </is>
      </c>
      <c r="C19" s="22" t="inlineStr">
        <is>
          <t>Corporate</t>
        </is>
      </c>
      <c r="D19" s="22" t="inlineStr">
        <is>
          <t>Nadia Baig</t>
        </is>
      </c>
      <c r="E19" s="22" t="inlineStr">
        <is>
          <t>Export Services</t>
        </is>
      </c>
      <c r="F19" s="22" t="inlineStr">
        <is>
          <t>GBP</t>
        </is>
      </c>
      <c r="G19" s="37" t="n">
        <v>247135.05</v>
      </c>
      <c r="H19" s="38" t="n">
        <v>87930650.79000001</v>
      </c>
      <c r="I19" s="39" t="n">
        <v>87.9307</v>
      </c>
      <c r="J19" s="22" t="inlineStr">
        <is>
          <t>Apr-26</t>
        </is>
      </c>
      <c r="K19" s="36" t="inlineStr">
        <is>
          <t>51100</t>
        </is>
      </c>
      <c r="L19" s="22" t="inlineStr">
        <is>
          <t>Jan-9-26</t>
        </is>
      </c>
      <c r="M19" s="22" t="inlineStr">
        <is>
          <t>Apr-7-26</t>
        </is>
      </c>
      <c r="N19" s="22" t="inlineStr">
        <is>
          <t>Z</t>
        </is>
      </c>
      <c r="O19" s="40" t="inlineStr">
        <is>
          <t>FRUIT PRODUCE</t>
        </is>
      </c>
      <c r="P19" s="22" t="inlineStr">
        <is>
          <t>UAE</t>
        </is>
      </c>
      <c r="Q19" s="22" t="inlineStr">
        <is>
          <t>LC Sight</t>
        </is>
      </c>
    </row>
    <row r="20" ht="16" customHeight="1">
      <c r="A20" s="31" t="inlineStr">
        <is>
          <t>34073</t>
        </is>
      </c>
      <c r="B20" s="31" t="inlineStr">
        <is>
          <t>8850</t>
        </is>
      </c>
      <c r="C20" s="17" t="inlineStr">
        <is>
          <t>Commercial</t>
        </is>
      </c>
      <c r="D20" s="17" t="inlineStr">
        <is>
          <t>Hassan Raza</t>
        </is>
      </c>
      <c r="E20" s="17" t="inlineStr">
        <is>
          <t>IT Exporters / Freelancers</t>
        </is>
      </c>
      <c r="F20" s="17" t="inlineStr">
        <is>
          <t>PKR</t>
        </is>
      </c>
      <c r="G20" s="32" t="n">
        <v>234429.18</v>
      </c>
      <c r="H20" s="33" t="n">
        <v>234429.18</v>
      </c>
      <c r="I20" s="34" t="n">
        <v>0.2344</v>
      </c>
      <c r="J20" s="17" t="inlineStr">
        <is>
          <t>Jun-26</t>
        </is>
      </c>
      <c r="K20" s="31" t="inlineStr">
        <is>
          <t>51110</t>
        </is>
      </c>
      <c r="L20" s="17" t="inlineStr">
        <is>
          <t>Jan-17-26</t>
        </is>
      </c>
      <c r="M20" s="17" t="inlineStr">
        <is>
          <t>Apr-1-26</t>
        </is>
      </c>
      <c r="N20" s="17" t="inlineStr">
        <is>
          <t>P</t>
        </is>
      </c>
      <c r="O20" s="35" t="inlineStr">
        <is>
          <t>FRUIT PRODUCE</t>
        </is>
      </c>
      <c r="P20" s="17" t="inlineStr">
        <is>
          <t>United Kingdom</t>
        </is>
      </c>
      <c r="Q20" s="17" t="inlineStr">
        <is>
          <t>LC Usance</t>
        </is>
      </c>
    </row>
    <row r="21" ht="16" customHeight="1">
      <c r="A21" s="36" t="inlineStr">
        <is>
          <t>54007</t>
        </is>
      </c>
      <c r="B21" s="36" t="inlineStr">
        <is>
          <t>1064</t>
        </is>
      </c>
      <c r="C21" s="22" t="inlineStr">
        <is>
          <t>Corporate</t>
        </is>
      </c>
      <c r="D21" s="22" t="inlineStr">
        <is>
          <t>Omar Siddiqui</t>
        </is>
      </c>
      <c r="E21" s="22" t="inlineStr">
        <is>
          <t>Export Services</t>
        </is>
      </c>
      <c r="F21" s="22" t="inlineStr">
        <is>
          <t>USD</t>
        </is>
      </c>
      <c r="G21" s="37" t="n">
        <v>99996.67999999999</v>
      </c>
      <c r="H21" s="38" t="n">
        <v>28049068.74</v>
      </c>
      <c r="I21" s="39" t="n">
        <v>28.0491</v>
      </c>
      <c r="J21" s="22" t="inlineStr">
        <is>
          <t>Jun-26</t>
        </is>
      </c>
      <c r="K21" s="36" t="inlineStr">
        <is>
          <t>51120</t>
        </is>
      </c>
      <c r="L21" s="22" t="inlineStr">
        <is>
          <t>Jan-9-26</t>
        </is>
      </c>
      <c r="M21" s="22" t="inlineStr">
        <is>
          <t>Apr-6-26</t>
        </is>
      </c>
      <c r="N21" s="22" t="inlineStr">
        <is>
          <t>P</t>
        </is>
      </c>
      <c r="O21" s="40" t="inlineStr">
        <is>
          <t>ENGINEERING GOODS</t>
        </is>
      </c>
      <c r="P21" s="22" t="inlineStr">
        <is>
          <t>Belgium</t>
        </is>
      </c>
      <c r="Q21" s="22" t="inlineStr">
        <is>
          <t>LC Usance</t>
        </is>
      </c>
    </row>
    <row r="22" ht="16" customHeight="1">
      <c r="A22" s="31" t="inlineStr">
        <is>
          <t>14737</t>
        </is>
      </c>
      <c r="B22" s="31" t="inlineStr">
        <is>
          <t>1782</t>
        </is>
      </c>
      <c r="C22" s="17" t="inlineStr">
        <is>
          <t>Corporate</t>
        </is>
      </c>
      <c r="D22" s="17" t="inlineStr">
        <is>
          <t>Sana Malik</t>
        </is>
      </c>
      <c r="E22" s="17" t="inlineStr">
        <is>
          <t>Export</t>
        </is>
      </c>
      <c r="F22" s="17" t="inlineStr">
        <is>
          <t>PKR</t>
        </is>
      </c>
      <c r="G22" s="32" t="n">
        <v>196566.69</v>
      </c>
      <c r="H22" s="33" t="n">
        <v>196566.69</v>
      </c>
      <c r="I22" s="34" t="n">
        <v>0.1966</v>
      </c>
      <c r="J22" s="17" t="inlineStr">
        <is>
          <t>May-26</t>
        </is>
      </c>
      <c r="K22" s="31" t="inlineStr">
        <is>
          <t>51126</t>
        </is>
      </c>
      <c r="L22" s="17" t="inlineStr">
        <is>
          <t>Jan-23-26</t>
        </is>
      </c>
      <c r="M22" s="17" t="inlineStr">
        <is>
          <t>Apr-25-26</t>
        </is>
      </c>
      <c r="N22" s="17" t="inlineStr">
        <is>
          <t>Z</t>
        </is>
      </c>
      <c r="O22" s="35" t="inlineStr">
        <is>
          <t>RICE</t>
        </is>
      </c>
      <c r="P22" s="17" t="inlineStr">
        <is>
          <t>Bangladesh</t>
        </is>
      </c>
      <c r="Q22" s="17" t="inlineStr">
        <is>
          <t>FDBC DP</t>
        </is>
      </c>
    </row>
    <row r="23" ht="16" customHeight="1">
      <c r="A23" s="36" t="inlineStr">
        <is>
          <t>73525</t>
        </is>
      </c>
      <c r="B23" s="36" t="inlineStr">
        <is>
          <t>3815</t>
        </is>
      </c>
      <c r="C23" s="22" t="inlineStr">
        <is>
          <t>Commercial</t>
        </is>
      </c>
      <c r="D23" s="22" t="inlineStr">
        <is>
          <t>Faisal Khan</t>
        </is>
      </c>
      <c r="E23" s="22" t="inlineStr">
        <is>
          <t>Import</t>
        </is>
      </c>
      <c r="F23" s="22" t="inlineStr">
        <is>
          <t>USD</t>
        </is>
      </c>
      <c r="G23" s="37" t="n">
        <v>130983.21</v>
      </c>
      <c r="H23" s="38" t="n">
        <v>36740790.41</v>
      </c>
      <c r="I23" s="39" t="n">
        <v>36.7408</v>
      </c>
      <c r="J23" s="22" t="inlineStr">
        <is>
          <t>Mar-26</t>
        </is>
      </c>
      <c r="K23" s="36" t="inlineStr">
        <is>
          <t>51131</t>
        </is>
      </c>
      <c r="L23" s="22" t="inlineStr">
        <is>
          <t>Jan-12-26</t>
        </is>
      </c>
      <c r="M23" s="22" t="inlineStr">
        <is>
          <t>Apr-21-26</t>
        </is>
      </c>
      <c r="N23" s="22" t="inlineStr">
        <is>
          <t>P</t>
        </is>
      </c>
      <c r="O23" s="40" t="inlineStr">
        <is>
          <t>FRUIT PRODUCE</t>
        </is>
      </c>
      <c r="P23" s="22" t="inlineStr">
        <is>
          <t>UAE</t>
        </is>
      </c>
      <c r="Q23" s="22" t="inlineStr">
        <is>
          <t>Inland LC Sight</t>
        </is>
      </c>
    </row>
    <row r="24" ht="16" customHeight="1">
      <c r="A24" s="31" t="inlineStr">
        <is>
          <t>27950</t>
        </is>
      </c>
      <c r="B24" s="31" t="inlineStr">
        <is>
          <t>3460</t>
        </is>
      </c>
      <c r="C24" s="17" t="inlineStr">
        <is>
          <t>SME &amp; Distribution</t>
        </is>
      </c>
      <c r="D24" s="17" t="inlineStr">
        <is>
          <t>Salman Iqbal</t>
        </is>
      </c>
      <c r="E24" s="17" t="inlineStr">
        <is>
          <t>Export</t>
        </is>
      </c>
      <c r="F24" s="17" t="inlineStr">
        <is>
          <t>EUR</t>
        </is>
      </c>
      <c r="G24" s="32" t="n">
        <v>266918.35</v>
      </c>
      <c r="H24" s="33" t="n">
        <v>81463480.42</v>
      </c>
      <c r="I24" s="34" t="n">
        <v>81.4635</v>
      </c>
      <c r="J24" s="17" t="inlineStr">
        <is>
          <t>Jan-26</t>
        </is>
      </c>
      <c r="K24" s="31" t="inlineStr">
        <is>
          <t>51140</t>
        </is>
      </c>
      <c r="L24" s="17" t="inlineStr">
        <is>
          <t>Jan-8-26</t>
        </is>
      </c>
      <c r="M24" s="17" t="inlineStr">
        <is>
          <t>Apr-20-26</t>
        </is>
      </c>
      <c r="N24" s="17" t="inlineStr">
        <is>
          <t>Z</t>
        </is>
      </c>
      <c r="O24" s="35" t="inlineStr">
        <is>
          <t>RICE</t>
        </is>
      </c>
      <c r="P24" s="17" t="inlineStr">
        <is>
          <t>Belgium</t>
        </is>
      </c>
      <c r="Q24" s="17" t="inlineStr">
        <is>
          <t>Inland LC Sight</t>
        </is>
      </c>
    </row>
    <row r="25" ht="16" customHeight="1">
      <c r="A25" s="36" t="inlineStr">
        <is>
          <t>16922</t>
        </is>
      </c>
      <c r="B25" s="36" t="inlineStr">
        <is>
          <t>6609</t>
        </is>
      </c>
      <c r="C25" s="22" t="inlineStr">
        <is>
          <t>SME &amp; Distribution</t>
        </is>
      </c>
      <c r="D25" s="22" t="inlineStr">
        <is>
          <t>Sana Malik</t>
        </is>
      </c>
      <c r="E25" s="22" t="inlineStr">
        <is>
          <t>Import</t>
        </is>
      </c>
      <c r="F25" s="22" t="inlineStr">
        <is>
          <t>GBP</t>
        </is>
      </c>
      <c r="G25" s="37" t="n">
        <v>69856.63</v>
      </c>
      <c r="H25" s="38" t="n">
        <v>24854988.95</v>
      </c>
      <c r="I25" s="39" t="n">
        <v>24.855</v>
      </c>
      <c r="J25" s="22" t="inlineStr">
        <is>
          <t>Jun-26</t>
        </is>
      </c>
      <c r="K25" s="36" t="inlineStr">
        <is>
          <t>51153</t>
        </is>
      </c>
      <c r="L25" s="22" t="inlineStr">
        <is>
          <t>Jan-16-26</t>
        </is>
      </c>
      <c r="M25" s="22" t="inlineStr">
        <is>
          <t>Apr-21-26</t>
        </is>
      </c>
      <c r="N25" s="22" t="inlineStr">
        <is>
          <t>P</t>
        </is>
      </c>
      <c r="O25" s="40" t="inlineStr">
        <is>
          <t>PHARMACEUTICAL ITEMS</t>
        </is>
      </c>
      <c r="P25" s="22" t="inlineStr">
        <is>
          <t>Germany</t>
        </is>
      </c>
      <c r="Q25" s="22" t="inlineStr">
        <is>
          <t>FDBC DA</t>
        </is>
      </c>
    </row>
    <row r="26" ht="16" customHeight="1">
      <c r="A26" s="31" t="inlineStr">
        <is>
          <t>99407</t>
        </is>
      </c>
      <c r="B26" s="31" t="inlineStr">
        <is>
          <t>2588</t>
        </is>
      </c>
      <c r="C26" s="17" t="inlineStr">
        <is>
          <t>SME &amp; Distribution</t>
        </is>
      </c>
      <c r="D26" s="17" t="inlineStr">
        <is>
          <t>Tariq Mehmood</t>
        </is>
      </c>
      <c r="E26" s="17" t="inlineStr">
        <is>
          <t>Import</t>
        </is>
      </c>
      <c r="F26" s="17" t="inlineStr">
        <is>
          <t>PKR</t>
        </is>
      </c>
      <c r="G26" s="32" t="n">
        <v>158127.9</v>
      </c>
      <c r="H26" s="33" t="n">
        <v>158127.9</v>
      </c>
      <c r="I26" s="34" t="n">
        <v>0.1581</v>
      </c>
      <c r="J26" s="17" t="inlineStr">
        <is>
          <t>Feb-26</t>
        </is>
      </c>
      <c r="K26" s="31" t="inlineStr">
        <is>
          <t>51166</t>
        </is>
      </c>
      <c r="L26" s="17" t="inlineStr">
        <is>
          <t>Jan-12-26</t>
        </is>
      </c>
      <c r="M26" s="17" t="inlineStr">
        <is>
          <t>Apr-9-26</t>
        </is>
      </c>
      <c r="N26" s="17" t="inlineStr">
        <is>
          <t>P</t>
        </is>
      </c>
      <c r="O26" s="35" t="inlineStr">
        <is>
          <t>RICE</t>
        </is>
      </c>
      <c r="P26" s="17" t="inlineStr">
        <is>
          <t>UAE</t>
        </is>
      </c>
      <c r="Q26" s="17" t="inlineStr">
        <is>
          <t>LC Usance</t>
        </is>
      </c>
    </row>
    <row r="27" ht="16" customHeight="1">
      <c r="A27" s="36" t="inlineStr">
        <is>
          <t>61973</t>
        </is>
      </c>
      <c r="B27" s="36" t="inlineStr">
        <is>
          <t>1333</t>
        </is>
      </c>
      <c r="C27" s="22" t="inlineStr">
        <is>
          <t>Commercial</t>
        </is>
      </c>
      <c r="D27" s="22" t="inlineStr">
        <is>
          <t>Sana Malik</t>
        </is>
      </c>
      <c r="E27" s="22" t="inlineStr">
        <is>
          <t>Export</t>
        </is>
      </c>
      <c r="F27" s="22" t="inlineStr">
        <is>
          <t>AED</t>
        </is>
      </c>
      <c r="G27" s="37" t="n">
        <v>330557.01</v>
      </c>
      <c r="H27" s="38" t="n">
        <v>25254555.56</v>
      </c>
      <c r="I27" s="39" t="n">
        <v>25.2546</v>
      </c>
      <c r="J27" s="22" t="inlineStr">
        <is>
          <t>Feb-26</t>
        </is>
      </c>
      <c r="K27" s="36" t="inlineStr">
        <is>
          <t>51171</t>
        </is>
      </c>
      <c r="L27" s="22" t="inlineStr">
        <is>
          <t>Jan-4-26</t>
        </is>
      </c>
      <c r="M27" s="22" t="inlineStr">
        <is>
          <t>Apr-16-26</t>
        </is>
      </c>
      <c r="N27" s="22" t="inlineStr">
        <is>
          <t>Z</t>
        </is>
      </c>
      <c r="O27" s="40" t="inlineStr">
        <is>
          <t>FRUIT PRODUCE</t>
        </is>
      </c>
      <c r="P27" s="22" t="inlineStr">
        <is>
          <t>United States</t>
        </is>
      </c>
      <c r="Q27" s="22" t="inlineStr">
        <is>
          <t>LC Sight</t>
        </is>
      </c>
    </row>
    <row r="28" ht="16" customHeight="1">
      <c r="A28" s="31" t="inlineStr">
        <is>
          <t>31489</t>
        </is>
      </c>
      <c r="B28" s="31" t="inlineStr">
        <is>
          <t>6199</t>
        </is>
      </c>
      <c r="C28" s="17" t="inlineStr">
        <is>
          <t>Commercial</t>
        </is>
      </c>
      <c r="D28" s="17" t="inlineStr">
        <is>
          <t>Salman Iqbal</t>
        </is>
      </c>
      <c r="E28" s="17" t="inlineStr">
        <is>
          <t>Export</t>
        </is>
      </c>
      <c r="F28" s="17" t="inlineStr">
        <is>
          <t>GBP</t>
        </is>
      </c>
      <c r="G28" s="32" t="n">
        <v>117799.44</v>
      </c>
      <c r="H28" s="33" t="n">
        <v>41913040.75</v>
      </c>
      <c r="I28" s="34" t="n">
        <v>41.913</v>
      </c>
      <c r="J28" s="17" t="inlineStr">
        <is>
          <t>Mar-26</t>
        </is>
      </c>
      <c r="K28" s="31" t="inlineStr">
        <is>
          <t>51185</t>
        </is>
      </c>
      <c r="L28" s="17" t="inlineStr">
        <is>
          <t>Jan-8-26</t>
        </is>
      </c>
      <c r="M28" s="17" t="inlineStr">
        <is>
          <t>Apr-18-26</t>
        </is>
      </c>
      <c r="N28" s="17" t="inlineStr">
        <is>
          <t>P</t>
        </is>
      </c>
      <c r="O28" s="35" t="inlineStr">
        <is>
          <t>SALT MINERALS</t>
        </is>
      </c>
      <c r="P28" s="17" t="inlineStr">
        <is>
          <t>United States</t>
        </is>
      </c>
      <c r="Q28" s="17" t="inlineStr">
        <is>
          <t>Exp Advance Payment</t>
        </is>
      </c>
    </row>
    <row r="29" ht="16" customHeight="1">
      <c r="A29" s="36" t="inlineStr">
        <is>
          <t>64932</t>
        </is>
      </c>
      <c r="B29" s="36" t="inlineStr">
        <is>
          <t>9393</t>
        </is>
      </c>
      <c r="C29" s="22" t="inlineStr">
        <is>
          <t>Corporate</t>
        </is>
      </c>
      <c r="D29" s="22" t="inlineStr">
        <is>
          <t>Tariq Mehmood</t>
        </is>
      </c>
      <c r="E29" s="22" t="inlineStr">
        <is>
          <t>Guarantee</t>
        </is>
      </c>
      <c r="F29" s="22" t="inlineStr">
        <is>
          <t>PKR</t>
        </is>
      </c>
      <c r="G29" s="37" t="n">
        <v>185821.21</v>
      </c>
      <c r="H29" s="38" t="n">
        <v>185821.21</v>
      </c>
      <c r="I29" s="39" t="n">
        <v>0.1858</v>
      </c>
      <c r="J29" s="22" t="inlineStr">
        <is>
          <t>Feb-26</t>
        </is>
      </c>
      <c r="K29" s="36" t="inlineStr">
        <is>
          <t>51197</t>
        </is>
      </c>
      <c r="L29" s="22" t="inlineStr">
        <is>
          <t>Jan-9-26</t>
        </is>
      </c>
      <c r="M29" s="22" t="inlineStr">
        <is>
          <t>Apr-6-26</t>
        </is>
      </c>
      <c r="N29" s="22" t="inlineStr">
        <is>
          <t>P</t>
        </is>
      </c>
      <c r="O29" s="40" t="inlineStr">
        <is>
          <t>SURGICAL ITEMS</t>
        </is>
      </c>
      <c r="P29" s="22" t="inlineStr">
        <is>
          <t>United Kingdom</t>
        </is>
      </c>
      <c r="Q29" s="22" t="inlineStr">
        <is>
          <t>Inland LC Sight</t>
        </is>
      </c>
    </row>
    <row r="30" ht="16" customHeight="1">
      <c r="A30" s="31" t="inlineStr">
        <is>
          <t>84129</t>
        </is>
      </c>
      <c r="B30" s="31" t="inlineStr">
        <is>
          <t>1470</t>
        </is>
      </c>
      <c r="C30" s="17" t="inlineStr">
        <is>
          <t>SME &amp; Distribution</t>
        </is>
      </c>
      <c r="D30" s="17" t="inlineStr">
        <is>
          <t>Salman Iqbal</t>
        </is>
      </c>
      <c r="E30" s="17" t="inlineStr">
        <is>
          <t>Export Services</t>
        </is>
      </c>
      <c r="F30" s="17" t="inlineStr">
        <is>
          <t>USD</t>
        </is>
      </c>
      <c r="G30" s="32" t="n">
        <v>315696.78</v>
      </c>
      <c r="H30" s="33" t="n">
        <v>88552946.79000001</v>
      </c>
      <c r="I30" s="34" t="n">
        <v>88.55289999999999</v>
      </c>
      <c r="J30" s="17" t="inlineStr">
        <is>
          <t>Feb-26</t>
        </is>
      </c>
      <c r="K30" s="31" t="inlineStr">
        <is>
          <t>51211</t>
        </is>
      </c>
      <c r="L30" s="17" t="inlineStr">
        <is>
          <t>Jan-9-26</t>
        </is>
      </c>
      <c r="M30" s="17" t="inlineStr">
        <is>
          <t>Apr-6-26</t>
        </is>
      </c>
      <c r="N30" s="17" t="inlineStr">
        <is>
          <t>P</t>
        </is>
      </c>
      <c r="O30" s="35" t="inlineStr">
        <is>
          <t>CHEMICAL PRODUCTS</t>
        </is>
      </c>
      <c r="P30" s="17" t="inlineStr">
        <is>
          <t>United States</t>
        </is>
      </c>
      <c r="Q30" s="17" t="inlineStr">
        <is>
          <t>FDBC DP</t>
        </is>
      </c>
    </row>
    <row r="31" ht="16" customHeight="1">
      <c r="A31" s="36" t="inlineStr">
        <is>
          <t>94354</t>
        </is>
      </c>
      <c r="B31" s="36" t="inlineStr">
        <is>
          <t>1583</t>
        </is>
      </c>
      <c r="C31" s="22" t="inlineStr">
        <is>
          <t>SME &amp; Distribution</t>
        </is>
      </c>
      <c r="D31" s="22" t="inlineStr">
        <is>
          <t>Ayesha Noor</t>
        </is>
      </c>
      <c r="E31" s="22" t="inlineStr">
        <is>
          <t>Import</t>
        </is>
      </c>
      <c r="F31" s="22" t="inlineStr">
        <is>
          <t>USD</t>
        </is>
      </c>
      <c r="G31" s="37" t="n">
        <v>30537.69</v>
      </c>
      <c r="H31" s="38" t="n">
        <v>8565822.039999999</v>
      </c>
      <c r="I31" s="39" t="n">
        <v>8.565799999999999</v>
      </c>
      <c r="J31" s="22" t="inlineStr">
        <is>
          <t>Apr-26</t>
        </is>
      </c>
      <c r="K31" s="36" t="inlineStr">
        <is>
          <t>51220</t>
        </is>
      </c>
      <c r="L31" s="22" t="inlineStr">
        <is>
          <t>Jan-16-26</t>
        </is>
      </c>
      <c r="M31" s="22" t="inlineStr">
        <is>
          <t>Apr-20-26</t>
        </is>
      </c>
      <c r="N31" s="22" t="inlineStr">
        <is>
          <t>P</t>
        </is>
      </c>
      <c r="O31" s="40" t="inlineStr">
        <is>
          <t>SPORTS GOODS</t>
        </is>
      </c>
      <c r="P31" s="22" t="inlineStr">
        <is>
          <t>Netherlands</t>
        </is>
      </c>
      <c r="Q31" s="22" t="inlineStr">
        <is>
          <t>FDBC DA</t>
        </is>
      </c>
    </row>
    <row r="32" ht="16" customHeight="1">
      <c r="A32" s="31" t="inlineStr">
        <is>
          <t>40490</t>
        </is>
      </c>
      <c r="B32" s="31" t="inlineStr">
        <is>
          <t>8940</t>
        </is>
      </c>
      <c r="C32" s="17" t="inlineStr">
        <is>
          <t>Corporate</t>
        </is>
      </c>
      <c r="D32" s="17" t="inlineStr">
        <is>
          <t>Omar Siddiqui</t>
        </is>
      </c>
      <c r="E32" s="17" t="inlineStr">
        <is>
          <t>IT Exporters / Freelancers</t>
        </is>
      </c>
      <c r="F32" s="17" t="inlineStr">
        <is>
          <t>EUR</t>
        </is>
      </c>
      <c r="G32" s="32" t="n">
        <v>155536.14</v>
      </c>
      <c r="H32" s="33" t="n">
        <v>47469629.93</v>
      </c>
      <c r="I32" s="34" t="n">
        <v>47.4696</v>
      </c>
      <c r="J32" s="17" t="inlineStr">
        <is>
          <t>Jun-26</t>
        </is>
      </c>
      <c r="K32" s="31" t="inlineStr">
        <is>
          <t>51224</t>
        </is>
      </c>
      <c r="L32" s="17" t="inlineStr">
        <is>
          <t>Jan-24-26</t>
        </is>
      </c>
      <c r="M32" s="17" t="inlineStr">
        <is>
          <t>Apr-8-26</t>
        </is>
      </c>
      <c r="N32" s="17" t="inlineStr">
        <is>
          <t>P</t>
        </is>
      </c>
      <c r="O32" s="35" t="inlineStr">
        <is>
          <t>RICE</t>
        </is>
      </c>
      <c r="P32" s="17" t="inlineStr">
        <is>
          <t>UAE</t>
        </is>
      </c>
      <c r="Q32" s="17" t="inlineStr">
        <is>
          <t>LC Usance</t>
        </is>
      </c>
    </row>
    <row r="33" ht="16" customHeight="1">
      <c r="A33" s="36" t="inlineStr">
        <is>
          <t>98113</t>
        </is>
      </c>
      <c r="B33" s="36" t="inlineStr">
        <is>
          <t>9265</t>
        </is>
      </c>
      <c r="C33" s="22" t="inlineStr">
        <is>
          <t>Corporate</t>
        </is>
      </c>
      <c r="D33" s="22" t="inlineStr">
        <is>
          <t>Nadia Baig</t>
        </is>
      </c>
      <c r="E33" s="22" t="inlineStr">
        <is>
          <t>Import</t>
        </is>
      </c>
      <c r="F33" s="22" t="inlineStr">
        <is>
          <t>AED</t>
        </is>
      </c>
      <c r="G33" s="37" t="n">
        <v>85985.3</v>
      </c>
      <c r="H33" s="38" t="n">
        <v>6569276.92</v>
      </c>
      <c r="I33" s="39" t="n">
        <v>6.5693</v>
      </c>
      <c r="J33" s="22" t="inlineStr">
        <is>
          <t>May-26</t>
        </is>
      </c>
      <c r="K33" s="36" t="inlineStr">
        <is>
          <t>51239</t>
        </is>
      </c>
      <c r="L33" s="22" t="inlineStr">
        <is>
          <t>Jan-17-26</t>
        </is>
      </c>
      <c r="M33" s="22" t="inlineStr">
        <is>
          <t>Apr-18-26</t>
        </is>
      </c>
      <c r="N33" s="22" t="inlineStr">
        <is>
          <t>P</t>
        </is>
      </c>
      <c r="O33" s="40" t="inlineStr">
        <is>
          <t>CHEMICAL PRODUCTS</t>
        </is>
      </c>
      <c r="P33" s="22" t="inlineStr">
        <is>
          <t>Netherlands</t>
        </is>
      </c>
      <c r="Q33" s="22" t="inlineStr">
        <is>
          <t>LC Usance</t>
        </is>
      </c>
    </row>
    <row r="34" ht="16" customHeight="1">
      <c r="A34" s="31" t="inlineStr">
        <is>
          <t>84001</t>
        </is>
      </c>
      <c r="B34" s="31" t="inlineStr">
        <is>
          <t>6475</t>
        </is>
      </c>
      <c r="C34" s="17" t="inlineStr">
        <is>
          <t>Corporate</t>
        </is>
      </c>
      <c r="D34" s="17" t="inlineStr">
        <is>
          <t>Faisal Khan</t>
        </is>
      </c>
      <c r="E34" s="17" t="inlineStr">
        <is>
          <t>Guarantee</t>
        </is>
      </c>
      <c r="F34" s="17" t="inlineStr">
        <is>
          <t>GBP</t>
        </is>
      </c>
      <c r="G34" s="32" t="n">
        <v>278744.33</v>
      </c>
      <c r="H34" s="33" t="n">
        <v>99177232.61</v>
      </c>
      <c r="I34" s="34" t="n">
        <v>99.1772</v>
      </c>
      <c r="J34" s="17" t="inlineStr">
        <is>
          <t>Feb-26</t>
        </is>
      </c>
      <c r="K34" s="31" t="inlineStr">
        <is>
          <t>51247</t>
        </is>
      </c>
      <c r="L34" s="17" t="inlineStr">
        <is>
          <t>Jan-11-26</t>
        </is>
      </c>
      <c r="M34" s="17" t="inlineStr">
        <is>
          <t>Apr-7-26</t>
        </is>
      </c>
      <c r="N34" s="17" t="inlineStr">
        <is>
          <t>P</t>
        </is>
      </c>
      <c r="O34" s="35" t="inlineStr">
        <is>
          <t>TEXTILE GOODS</t>
        </is>
      </c>
      <c r="P34" s="17" t="inlineStr">
        <is>
          <t>Netherlands</t>
        </is>
      </c>
      <c r="Q34" s="17" t="inlineStr">
        <is>
          <t>FDBC DP</t>
        </is>
      </c>
    </row>
    <row r="35" ht="16" customHeight="1">
      <c r="A35" s="36" t="inlineStr">
        <is>
          <t>98062</t>
        </is>
      </c>
      <c r="B35" s="36" t="inlineStr">
        <is>
          <t>5176</t>
        </is>
      </c>
      <c r="C35" s="22" t="inlineStr">
        <is>
          <t>Corporate</t>
        </is>
      </c>
      <c r="D35" s="22" t="inlineStr">
        <is>
          <t>Nadia Baig</t>
        </is>
      </c>
      <c r="E35" s="22" t="inlineStr">
        <is>
          <t>Import</t>
        </is>
      </c>
      <c r="F35" s="22" t="inlineStr">
        <is>
          <t>GBP</t>
        </is>
      </c>
      <c r="G35" s="37" t="n">
        <v>106889.66</v>
      </c>
      <c r="H35" s="38" t="n">
        <v>38031341.03</v>
      </c>
      <c r="I35" s="39" t="n">
        <v>38.0313</v>
      </c>
      <c r="J35" s="22" t="inlineStr">
        <is>
          <t>May-26</t>
        </is>
      </c>
      <c r="K35" s="36" t="inlineStr">
        <is>
          <t>51248</t>
        </is>
      </c>
      <c r="L35" s="22" t="inlineStr">
        <is>
          <t>Jan-13-26</t>
        </is>
      </c>
      <c r="M35" s="22" t="inlineStr">
        <is>
          <t>Apr-5-26</t>
        </is>
      </c>
      <c r="N35" s="22" t="inlineStr">
        <is>
          <t>Z</t>
        </is>
      </c>
      <c r="O35" s="40" t="inlineStr">
        <is>
          <t>GARMENTS</t>
        </is>
      </c>
      <c r="P35" s="22" t="inlineStr">
        <is>
          <t>UAE</t>
        </is>
      </c>
      <c r="Q35" s="22" t="inlineStr">
        <is>
          <t>LC Sight</t>
        </is>
      </c>
    </row>
    <row r="36" ht="16" customHeight="1">
      <c r="A36" s="31" t="inlineStr">
        <is>
          <t>35967</t>
        </is>
      </c>
      <c r="B36" s="31" t="inlineStr">
        <is>
          <t>8412</t>
        </is>
      </c>
      <c r="C36" s="17" t="inlineStr">
        <is>
          <t>SME &amp; Distribution</t>
        </is>
      </c>
      <c r="D36" s="17" t="inlineStr">
        <is>
          <t>Nadia Baig</t>
        </is>
      </c>
      <c r="E36" s="17" t="inlineStr">
        <is>
          <t>IT Exporters / Freelancers</t>
        </is>
      </c>
      <c r="F36" s="17" t="inlineStr">
        <is>
          <t>GBP</t>
        </is>
      </c>
      <c r="G36" s="32" t="n">
        <v>84901.94</v>
      </c>
      <c r="H36" s="33" t="n">
        <v>30208110.25</v>
      </c>
      <c r="I36" s="34" t="n">
        <v>30.2081</v>
      </c>
      <c r="J36" s="17" t="inlineStr">
        <is>
          <t>Jan-26</t>
        </is>
      </c>
      <c r="K36" s="31" t="inlineStr">
        <is>
          <t>51249</t>
        </is>
      </c>
      <c r="L36" s="17" t="inlineStr">
        <is>
          <t>Jan-11-26</t>
        </is>
      </c>
      <c r="M36" s="17" t="inlineStr">
        <is>
          <t>Apr-13-26</t>
        </is>
      </c>
      <c r="N36" s="17" t="inlineStr">
        <is>
          <t>P</t>
        </is>
      </c>
      <c r="O36" s="35" t="inlineStr">
        <is>
          <t>SALT MINERALS</t>
        </is>
      </c>
      <c r="P36" s="17" t="inlineStr">
        <is>
          <t>China</t>
        </is>
      </c>
      <c r="Q36" s="17" t="inlineStr">
        <is>
          <t>LC Sight</t>
        </is>
      </c>
    </row>
    <row r="37" ht="16" customHeight="1">
      <c r="A37" s="36" t="inlineStr">
        <is>
          <t>12822</t>
        </is>
      </c>
      <c r="B37" s="36" t="inlineStr">
        <is>
          <t>1475</t>
        </is>
      </c>
      <c r="C37" s="22" t="inlineStr">
        <is>
          <t>Corporate</t>
        </is>
      </c>
      <c r="D37" s="22" t="inlineStr">
        <is>
          <t>Bilal Ahmed</t>
        </is>
      </c>
      <c r="E37" s="22" t="inlineStr">
        <is>
          <t>Import</t>
        </is>
      </c>
      <c r="F37" s="22" t="inlineStr">
        <is>
          <t>USD</t>
        </is>
      </c>
      <c r="G37" s="37" t="n">
        <v>123528.32</v>
      </c>
      <c r="H37" s="38" t="n">
        <v>34649693.76</v>
      </c>
      <c r="I37" s="39" t="n">
        <v>34.6497</v>
      </c>
      <c r="J37" s="22" t="inlineStr">
        <is>
          <t>Feb-26</t>
        </is>
      </c>
      <c r="K37" s="36" t="inlineStr">
        <is>
          <t>51252</t>
        </is>
      </c>
      <c r="L37" s="22" t="inlineStr">
        <is>
          <t>Jan-4-26</t>
        </is>
      </c>
      <c r="M37" s="22" t="inlineStr">
        <is>
          <t>Apr-22-26</t>
        </is>
      </c>
      <c r="N37" s="22" t="inlineStr">
        <is>
          <t>Z</t>
        </is>
      </c>
      <c r="O37" s="40" t="inlineStr">
        <is>
          <t>GARMENTS</t>
        </is>
      </c>
      <c r="P37" s="22" t="inlineStr">
        <is>
          <t>China</t>
        </is>
      </c>
      <c r="Q37" s="22" t="inlineStr">
        <is>
          <t>LC Usance</t>
        </is>
      </c>
    </row>
    <row r="38" ht="16" customHeight="1">
      <c r="A38" s="31" t="inlineStr">
        <is>
          <t>65541</t>
        </is>
      </c>
      <c r="B38" s="31" t="inlineStr">
        <is>
          <t>7157</t>
        </is>
      </c>
      <c r="C38" s="17" t="inlineStr">
        <is>
          <t>Commercial</t>
        </is>
      </c>
      <c r="D38" s="17" t="inlineStr">
        <is>
          <t>Salman Iqbal</t>
        </is>
      </c>
      <c r="E38" s="17" t="inlineStr">
        <is>
          <t>Guarantee</t>
        </is>
      </c>
      <c r="F38" s="17" t="inlineStr">
        <is>
          <t>PKR</t>
        </is>
      </c>
      <c r="G38" s="32" t="n">
        <v>95674.09</v>
      </c>
      <c r="H38" s="33" t="n">
        <v>95674.09</v>
      </c>
      <c r="I38" s="34" t="n">
        <v>0.09569999999999999</v>
      </c>
      <c r="J38" s="17" t="inlineStr">
        <is>
          <t>May-26</t>
        </is>
      </c>
      <c r="K38" s="31" t="inlineStr">
        <is>
          <t>51265</t>
        </is>
      </c>
      <c r="L38" s="17" t="inlineStr">
        <is>
          <t>Jan-8-26</t>
        </is>
      </c>
      <c r="M38" s="17" t="inlineStr">
        <is>
          <t>Apr-3-26</t>
        </is>
      </c>
      <c r="N38" s="17" t="inlineStr">
        <is>
          <t>Z</t>
        </is>
      </c>
      <c r="O38" s="35" t="inlineStr">
        <is>
          <t>GARMENTS</t>
        </is>
      </c>
      <c r="P38" s="17" t="inlineStr">
        <is>
          <t>United States</t>
        </is>
      </c>
      <c r="Q38" s="17" t="inlineStr">
        <is>
          <t>Exp Advance Payment</t>
        </is>
      </c>
    </row>
    <row r="39" ht="16" customHeight="1">
      <c r="A39" s="36" t="inlineStr">
        <is>
          <t>91385</t>
        </is>
      </c>
      <c r="B39" s="36" t="inlineStr">
        <is>
          <t>2678</t>
        </is>
      </c>
      <c r="C39" s="22" t="inlineStr">
        <is>
          <t>Corporate</t>
        </is>
      </c>
      <c r="D39" s="22" t="inlineStr">
        <is>
          <t>Faisal Khan</t>
        </is>
      </c>
      <c r="E39" s="22" t="inlineStr">
        <is>
          <t>Guarantee</t>
        </is>
      </c>
      <c r="F39" s="22" t="inlineStr">
        <is>
          <t>GBP</t>
        </is>
      </c>
      <c r="G39" s="37" t="n">
        <v>220578.97</v>
      </c>
      <c r="H39" s="38" t="n">
        <v>78481997.53</v>
      </c>
      <c r="I39" s="39" t="n">
        <v>78.482</v>
      </c>
      <c r="J39" s="22" t="inlineStr">
        <is>
          <t>Mar-26</t>
        </is>
      </c>
      <c r="K39" s="36" t="inlineStr">
        <is>
          <t>51270</t>
        </is>
      </c>
      <c r="L39" s="22" t="inlineStr">
        <is>
          <t>Jan-1-26</t>
        </is>
      </c>
      <c r="M39" s="22" t="inlineStr">
        <is>
          <t>Apr-20-26</t>
        </is>
      </c>
      <c r="N39" s="22" t="inlineStr">
        <is>
          <t>P</t>
        </is>
      </c>
      <c r="O39" s="40" t="inlineStr">
        <is>
          <t>FROZEN FISH</t>
        </is>
      </c>
      <c r="P39" s="22" t="inlineStr">
        <is>
          <t>Bangladesh</t>
        </is>
      </c>
      <c r="Q39" s="22" t="inlineStr">
        <is>
          <t>Exp Advance Payment</t>
        </is>
      </c>
    </row>
    <row r="40" ht="16" customHeight="1">
      <c r="A40" s="31" t="inlineStr">
        <is>
          <t>25984</t>
        </is>
      </c>
      <c r="B40" s="31" t="inlineStr">
        <is>
          <t>1290</t>
        </is>
      </c>
      <c r="C40" s="17" t="inlineStr">
        <is>
          <t>SME &amp; Distribution</t>
        </is>
      </c>
      <c r="D40" s="17" t="inlineStr">
        <is>
          <t>Nadia Baig</t>
        </is>
      </c>
      <c r="E40" s="17" t="inlineStr">
        <is>
          <t>Export</t>
        </is>
      </c>
      <c r="F40" s="17" t="inlineStr">
        <is>
          <t>PKR</t>
        </is>
      </c>
      <c r="G40" s="32" t="n">
        <v>157338.39</v>
      </c>
      <c r="H40" s="33" t="n">
        <v>157338.39</v>
      </c>
      <c r="I40" s="34" t="n">
        <v>0.1573</v>
      </c>
      <c r="J40" s="17" t="inlineStr">
        <is>
          <t>Apr-26</t>
        </is>
      </c>
      <c r="K40" s="31" t="inlineStr">
        <is>
          <t>51275</t>
        </is>
      </c>
      <c r="L40" s="17" t="inlineStr">
        <is>
          <t>Jan-23-26</t>
        </is>
      </c>
      <c r="M40" s="17" t="inlineStr">
        <is>
          <t>Apr-18-26</t>
        </is>
      </c>
      <c r="N40" s="17" t="inlineStr">
        <is>
          <t>Z</t>
        </is>
      </c>
      <c r="O40" s="35" t="inlineStr">
        <is>
          <t>FRUIT PRODUCE</t>
        </is>
      </c>
      <c r="P40" s="17" t="inlineStr">
        <is>
          <t>United Kingdom</t>
        </is>
      </c>
      <c r="Q40" s="17" t="inlineStr">
        <is>
          <t>Exp Advance Payment</t>
        </is>
      </c>
    </row>
    <row r="41" ht="16" customHeight="1">
      <c r="A41" s="36" t="inlineStr">
        <is>
          <t>18928</t>
        </is>
      </c>
      <c r="B41" s="36" t="inlineStr">
        <is>
          <t>5583</t>
        </is>
      </c>
      <c r="C41" s="22" t="inlineStr">
        <is>
          <t>Corporate</t>
        </is>
      </c>
      <c r="D41" s="22" t="inlineStr">
        <is>
          <t>Nadia Baig</t>
        </is>
      </c>
      <c r="E41" s="22" t="inlineStr">
        <is>
          <t>Export Services</t>
        </is>
      </c>
      <c r="F41" s="22" t="inlineStr">
        <is>
          <t>EUR</t>
        </is>
      </c>
      <c r="G41" s="37" t="n">
        <v>121778.95</v>
      </c>
      <c r="H41" s="38" t="n">
        <v>37166935.54</v>
      </c>
      <c r="I41" s="39" t="n">
        <v>37.1669</v>
      </c>
      <c r="J41" s="22" t="inlineStr">
        <is>
          <t>Jun-26</t>
        </is>
      </c>
      <c r="K41" s="36" t="inlineStr">
        <is>
          <t>51283</t>
        </is>
      </c>
      <c r="L41" s="22" t="inlineStr">
        <is>
          <t>Jan-19-26</t>
        </is>
      </c>
      <c r="M41" s="22" t="inlineStr">
        <is>
          <t>Apr-3-26</t>
        </is>
      </c>
      <c r="N41" s="22" t="inlineStr">
        <is>
          <t>P</t>
        </is>
      </c>
      <c r="O41" s="40" t="inlineStr">
        <is>
          <t>PHARMACEUTICAL ITEMS</t>
        </is>
      </c>
      <c r="P41" s="22" t="inlineStr">
        <is>
          <t>China</t>
        </is>
      </c>
      <c r="Q41" s="22" t="inlineStr">
        <is>
          <t>FDBC DP</t>
        </is>
      </c>
    </row>
    <row r="42" ht="16" customHeight="1">
      <c r="A42" s="31" t="inlineStr">
        <is>
          <t>65491</t>
        </is>
      </c>
      <c r="B42" s="31" t="inlineStr">
        <is>
          <t>1290</t>
        </is>
      </c>
      <c r="C42" s="17" t="inlineStr">
        <is>
          <t>SME &amp; Distribution</t>
        </is>
      </c>
      <c r="D42" s="17" t="inlineStr">
        <is>
          <t>Zara Hussain</t>
        </is>
      </c>
      <c r="E42" s="17" t="inlineStr">
        <is>
          <t>Export Services</t>
        </is>
      </c>
      <c r="F42" s="17" t="inlineStr">
        <is>
          <t>EUR</t>
        </is>
      </c>
      <c r="G42" s="32" t="n">
        <v>80233.41</v>
      </c>
      <c r="H42" s="33" t="n">
        <v>24487236.73</v>
      </c>
      <c r="I42" s="34" t="n">
        <v>24.4872</v>
      </c>
      <c r="J42" s="17" t="inlineStr">
        <is>
          <t>Jan-26</t>
        </is>
      </c>
      <c r="K42" s="31" t="inlineStr">
        <is>
          <t>51284</t>
        </is>
      </c>
      <c r="L42" s="17" t="inlineStr">
        <is>
          <t>Jan-6-26</t>
        </is>
      </c>
      <c r="M42" s="17" t="inlineStr">
        <is>
          <t>Apr-27-26</t>
        </is>
      </c>
      <c r="N42" s="17" t="inlineStr">
        <is>
          <t>P</t>
        </is>
      </c>
      <c r="O42" s="35" t="inlineStr">
        <is>
          <t>TEXTILE GOODS</t>
        </is>
      </c>
      <c r="P42" s="17" t="inlineStr">
        <is>
          <t>Netherlands</t>
        </is>
      </c>
      <c r="Q42" s="17" t="inlineStr">
        <is>
          <t>LC Sight</t>
        </is>
      </c>
    </row>
    <row r="43" ht="16" customHeight="1">
      <c r="A43" s="36" t="inlineStr">
        <is>
          <t>23721</t>
        </is>
      </c>
      <c r="B43" s="36" t="inlineStr">
        <is>
          <t>6075</t>
        </is>
      </c>
      <c r="C43" s="22" t="inlineStr">
        <is>
          <t>Corporate</t>
        </is>
      </c>
      <c r="D43" s="22" t="inlineStr">
        <is>
          <t>Nadia Baig</t>
        </is>
      </c>
      <c r="E43" s="22" t="inlineStr">
        <is>
          <t>Import</t>
        </is>
      </c>
      <c r="F43" s="22" t="inlineStr">
        <is>
          <t>PKR</t>
        </is>
      </c>
      <c r="G43" s="37" t="n">
        <v>138222.76</v>
      </c>
      <c r="H43" s="38" t="n">
        <v>138222.76</v>
      </c>
      <c r="I43" s="39" t="n">
        <v>0.1382</v>
      </c>
      <c r="J43" s="22" t="inlineStr">
        <is>
          <t>Feb-26</t>
        </is>
      </c>
      <c r="K43" s="36" t="inlineStr">
        <is>
          <t>51298</t>
        </is>
      </c>
      <c r="L43" s="22" t="inlineStr">
        <is>
          <t>Jan-10-26</t>
        </is>
      </c>
      <c r="M43" s="22" t="inlineStr">
        <is>
          <t>Apr-9-26</t>
        </is>
      </c>
      <c r="N43" s="22" t="inlineStr">
        <is>
          <t>P</t>
        </is>
      </c>
      <c r="O43" s="40" t="inlineStr">
        <is>
          <t>GARMENTS</t>
        </is>
      </c>
      <c r="P43" s="22" t="inlineStr">
        <is>
          <t>United States</t>
        </is>
      </c>
      <c r="Q43" s="22" t="inlineStr">
        <is>
          <t>Exp Advance Payment</t>
        </is>
      </c>
    </row>
    <row r="44" ht="16" customHeight="1">
      <c r="A44" s="31" t="inlineStr">
        <is>
          <t>14604</t>
        </is>
      </c>
      <c r="B44" s="31" t="inlineStr">
        <is>
          <t>2144</t>
        </is>
      </c>
      <c r="C44" s="17" t="inlineStr">
        <is>
          <t>SME &amp; Distribution</t>
        </is>
      </c>
      <c r="D44" s="17" t="inlineStr">
        <is>
          <t>Zara Hussain</t>
        </is>
      </c>
      <c r="E44" s="17" t="inlineStr">
        <is>
          <t>Guarantee</t>
        </is>
      </c>
      <c r="F44" s="17" t="inlineStr">
        <is>
          <t>USD</t>
        </is>
      </c>
      <c r="G44" s="32" t="n">
        <v>49308.73</v>
      </c>
      <c r="H44" s="33" t="n">
        <v>13831098.77</v>
      </c>
      <c r="I44" s="34" t="n">
        <v>13.8311</v>
      </c>
      <c r="J44" s="17" t="inlineStr">
        <is>
          <t>Apr-26</t>
        </is>
      </c>
      <c r="K44" s="31" t="inlineStr">
        <is>
          <t>51303</t>
        </is>
      </c>
      <c r="L44" s="17" t="inlineStr">
        <is>
          <t>Jan-28-26</t>
        </is>
      </c>
      <c r="M44" s="17" t="inlineStr">
        <is>
          <t>Apr-28-26</t>
        </is>
      </c>
      <c r="N44" s="17" t="inlineStr">
        <is>
          <t>Z</t>
        </is>
      </c>
      <c r="O44" s="35" t="inlineStr">
        <is>
          <t>ENGINEERING GOODS</t>
        </is>
      </c>
      <c r="P44" s="17" t="inlineStr">
        <is>
          <t>Bangladesh</t>
        </is>
      </c>
      <c r="Q44" s="17" t="inlineStr">
        <is>
          <t>FDBC DA</t>
        </is>
      </c>
    </row>
    <row r="45" ht="16" customHeight="1">
      <c r="A45" s="36" t="inlineStr">
        <is>
          <t>75549</t>
        </is>
      </c>
      <c r="B45" s="36" t="inlineStr">
        <is>
          <t>5144</t>
        </is>
      </c>
      <c r="C45" s="22" t="inlineStr">
        <is>
          <t>SME &amp; Distribution</t>
        </is>
      </c>
      <c r="D45" s="22" t="inlineStr">
        <is>
          <t>Nadia Baig</t>
        </is>
      </c>
      <c r="E45" s="22" t="inlineStr">
        <is>
          <t>Export Services</t>
        </is>
      </c>
      <c r="F45" s="22" t="inlineStr">
        <is>
          <t>GBP</t>
        </is>
      </c>
      <c r="G45" s="37" t="n">
        <v>102714.18</v>
      </c>
      <c r="H45" s="38" t="n">
        <v>36545705.24</v>
      </c>
      <c r="I45" s="39" t="n">
        <v>36.5457</v>
      </c>
      <c r="J45" s="22" t="inlineStr">
        <is>
          <t>Feb-26</t>
        </is>
      </c>
      <c r="K45" s="36" t="inlineStr">
        <is>
          <t>51314</t>
        </is>
      </c>
      <c r="L45" s="22" t="inlineStr">
        <is>
          <t>Jan-26-26</t>
        </is>
      </c>
      <c r="M45" s="22" t="inlineStr">
        <is>
          <t>Apr-17-26</t>
        </is>
      </c>
      <c r="N45" s="22" t="inlineStr">
        <is>
          <t>P</t>
        </is>
      </c>
      <c r="O45" s="40" t="inlineStr">
        <is>
          <t>SPORTS GOODS</t>
        </is>
      </c>
      <c r="P45" s="22" t="inlineStr">
        <is>
          <t>Turkey</t>
        </is>
      </c>
      <c r="Q45" s="22" t="inlineStr">
        <is>
          <t>FDBC DA</t>
        </is>
      </c>
    </row>
    <row r="46" ht="16" customHeight="1">
      <c r="A46" s="31" t="inlineStr">
        <is>
          <t>77639</t>
        </is>
      </c>
      <c r="B46" s="31" t="inlineStr">
        <is>
          <t>2156</t>
        </is>
      </c>
      <c r="C46" s="17" t="inlineStr">
        <is>
          <t>Corporate</t>
        </is>
      </c>
      <c r="D46" s="17" t="inlineStr">
        <is>
          <t>Sana Malik</t>
        </is>
      </c>
      <c r="E46" s="17" t="inlineStr">
        <is>
          <t>Guarantee</t>
        </is>
      </c>
      <c r="F46" s="17" t="inlineStr">
        <is>
          <t>AED</t>
        </is>
      </c>
      <c r="G46" s="32" t="n">
        <v>274567.67</v>
      </c>
      <c r="H46" s="33" t="n">
        <v>20976969.99</v>
      </c>
      <c r="I46" s="34" t="n">
        <v>20.977</v>
      </c>
      <c r="J46" s="17" t="inlineStr">
        <is>
          <t>May-26</t>
        </is>
      </c>
      <c r="K46" s="31" t="inlineStr">
        <is>
          <t>51318</t>
        </is>
      </c>
      <c r="L46" s="17" t="inlineStr">
        <is>
          <t>Jan-26-26</t>
        </is>
      </c>
      <c r="M46" s="17" t="inlineStr">
        <is>
          <t>Apr-3-26</t>
        </is>
      </c>
      <c r="N46" s="17" t="inlineStr">
        <is>
          <t>P</t>
        </is>
      </c>
      <c r="O46" s="35" t="inlineStr">
        <is>
          <t>SPORTS GOODS</t>
        </is>
      </c>
      <c r="P46" s="17" t="inlineStr">
        <is>
          <t>Netherlands</t>
        </is>
      </c>
      <c r="Q46" s="17" t="inlineStr">
        <is>
          <t>Exp Advance Payment</t>
        </is>
      </c>
    </row>
    <row r="47" ht="16" customHeight="1">
      <c r="A47" s="36" t="inlineStr">
        <is>
          <t>70017</t>
        </is>
      </c>
      <c r="B47" s="36" t="inlineStr">
        <is>
          <t>2747</t>
        </is>
      </c>
      <c r="C47" s="22" t="inlineStr">
        <is>
          <t>Corporate</t>
        </is>
      </c>
      <c r="D47" s="22" t="inlineStr">
        <is>
          <t>Ayesha Noor</t>
        </is>
      </c>
      <c r="E47" s="22" t="inlineStr">
        <is>
          <t>Export</t>
        </is>
      </c>
      <c r="F47" s="22" t="inlineStr">
        <is>
          <t>PKR</t>
        </is>
      </c>
      <c r="G47" s="37" t="n">
        <v>304929.89</v>
      </c>
      <c r="H47" s="38" t="n">
        <v>304929.89</v>
      </c>
      <c r="I47" s="39" t="n">
        <v>0.3049</v>
      </c>
      <c r="J47" s="22" t="inlineStr">
        <is>
          <t>Jan-26</t>
        </is>
      </c>
      <c r="K47" s="36" t="inlineStr">
        <is>
          <t>51320</t>
        </is>
      </c>
      <c r="L47" s="22" t="inlineStr">
        <is>
          <t>Jan-4-26</t>
        </is>
      </c>
      <c r="M47" s="22" t="inlineStr">
        <is>
          <t>Apr-5-26</t>
        </is>
      </c>
      <c r="N47" s="22" t="inlineStr">
        <is>
          <t>P</t>
        </is>
      </c>
      <c r="O47" s="40" t="inlineStr">
        <is>
          <t>SURGICAL ITEMS</t>
        </is>
      </c>
      <c r="P47" s="22" t="inlineStr">
        <is>
          <t>United States</t>
        </is>
      </c>
      <c r="Q47" s="22" t="inlineStr">
        <is>
          <t>FDBC DA</t>
        </is>
      </c>
    </row>
    <row r="48" ht="16" customHeight="1">
      <c r="A48" s="31" t="inlineStr">
        <is>
          <t>82741</t>
        </is>
      </c>
      <c r="B48" s="31" t="inlineStr">
        <is>
          <t>4112</t>
        </is>
      </c>
      <c r="C48" s="17" t="inlineStr">
        <is>
          <t>SME &amp; Distribution</t>
        </is>
      </c>
      <c r="D48" s="17" t="inlineStr">
        <is>
          <t>Nadia Baig</t>
        </is>
      </c>
      <c r="E48" s="17" t="inlineStr">
        <is>
          <t>Guarantee</t>
        </is>
      </c>
      <c r="F48" s="17" t="inlineStr">
        <is>
          <t>EUR</t>
        </is>
      </c>
      <c r="G48" s="32" t="n">
        <v>116654.89</v>
      </c>
      <c r="H48" s="33" t="n">
        <v>35603072.43</v>
      </c>
      <c r="I48" s="34" t="n">
        <v>35.6031</v>
      </c>
      <c r="J48" s="17" t="inlineStr">
        <is>
          <t>May-26</t>
        </is>
      </c>
      <c r="K48" s="31" t="inlineStr">
        <is>
          <t>51322</t>
        </is>
      </c>
      <c r="L48" s="17" t="inlineStr">
        <is>
          <t>Jan-17-26</t>
        </is>
      </c>
      <c r="M48" s="17" t="inlineStr">
        <is>
          <t>Apr-2-26</t>
        </is>
      </c>
      <c r="N48" s="17" t="inlineStr">
        <is>
          <t>P</t>
        </is>
      </c>
      <c r="O48" s="35" t="inlineStr">
        <is>
          <t>LEATHER GOODS</t>
        </is>
      </c>
      <c r="P48" s="17" t="inlineStr">
        <is>
          <t>Netherlands</t>
        </is>
      </c>
      <c r="Q48" s="17" t="inlineStr">
        <is>
          <t>LC Sight</t>
        </is>
      </c>
    </row>
    <row r="49" ht="16" customHeight="1">
      <c r="A49" s="36" t="inlineStr">
        <is>
          <t>90811</t>
        </is>
      </c>
      <c r="B49" s="36" t="inlineStr">
        <is>
          <t>6725</t>
        </is>
      </c>
      <c r="C49" s="22" t="inlineStr">
        <is>
          <t>Commercial</t>
        </is>
      </c>
      <c r="D49" s="22" t="inlineStr">
        <is>
          <t>Nadia Baig</t>
        </is>
      </c>
      <c r="E49" s="22" t="inlineStr">
        <is>
          <t>Export Services</t>
        </is>
      </c>
      <c r="F49" s="22" t="inlineStr">
        <is>
          <t>AED</t>
        </is>
      </c>
      <c r="G49" s="37" t="n">
        <v>19840.74</v>
      </c>
      <c r="H49" s="38" t="n">
        <v>1515832.54</v>
      </c>
      <c r="I49" s="39" t="n">
        <v>1.5158</v>
      </c>
      <c r="J49" s="22" t="inlineStr">
        <is>
          <t>Mar-26</t>
        </is>
      </c>
      <c r="K49" s="36" t="inlineStr">
        <is>
          <t>51326</t>
        </is>
      </c>
      <c r="L49" s="22" t="inlineStr">
        <is>
          <t>Jan-8-26</t>
        </is>
      </c>
      <c r="M49" s="22" t="inlineStr">
        <is>
          <t>Apr-28-26</t>
        </is>
      </c>
      <c r="N49" s="22" t="inlineStr">
        <is>
          <t>Z</t>
        </is>
      </c>
      <c r="O49" s="40" t="inlineStr">
        <is>
          <t>PHARMACEUTICAL ITEMS</t>
        </is>
      </c>
      <c r="P49" s="22" t="inlineStr">
        <is>
          <t>Turkey</t>
        </is>
      </c>
      <c r="Q49" s="22" t="inlineStr">
        <is>
          <t>Inland LC Sight</t>
        </is>
      </c>
    </row>
    <row r="50" ht="16" customHeight="1">
      <c r="A50" s="31" t="inlineStr">
        <is>
          <t>72417</t>
        </is>
      </c>
      <c r="B50" s="31" t="inlineStr">
        <is>
          <t>3680</t>
        </is>
      </c>
      <c r="C50" s="17" t="inlineStr">
        <is>
          <t>Corporate</t>
        </is>
      </c>
      <c r="D50" s="17" t="inlineStr">
        <is>
          <t>Bilal Ahmed</t>
        </is>
      </c>
      <c r="E50" s="17" t="inlineStr">
        <is>
          <t>IT Exporters / Freelancers</t>
        </is>
      </c>
      <c r="F50" s="17" t="inlineStr">
        <is>
          <t>PKR</t>
        </is>
      </c>
      <c r="G50" s="32" t="n">
        <v>65942.17</v>
      </c>
      <c r="H50" s="33" t="n">
        <v>65942.17</v>
      </c>
      <c r="I50" s="34" t="n">
        <v>0.0659</v>
      </c>
      <c r="J50" s="17" t="inlineStr">
        <is>
          <t>Mar-26</t>
        </is>
      </c>
      <c r="K50" s="31" t="inlineStr">
        <is>
          <t>51336</t>
        </is>
      </c>
      <c r="L50" s="17" t="inlineStr">
        <is>
          <t>Jan-19-26</t>
        </is>
      </c>
      <c r="M50" s="17" t="inlineStr">
        <is>
          <t>Apr-12-26</t>
        </is>
      </c>
      <c r="N50" s="17" t="inlineStr">
        <is>
          <t>Z</t>
        </is>
      </c>
      <c r="O50" s="35" t="inlineStr">
        <is>
          <t>TEXTILE GOODS</t>
        </is>
      </c>
      <c r="P50" s="17" t="inlineStr">
        <is>
          <t>China</t>
        </is>
      </c>
      <c r="Q50" s="17" t="inlineStr">
        <is>
          <t>Exp Advance Payment</t>
        </is>
      </c>
    </row>
    <row r="51" ht="16" customHeight="1">
      <c r="A51" s="36" t="inlineStr">
        <is>
          <t>18952</t>
        </is>
      </c>
      <c r="B51" s="36" t="inlineStr">
        <is>
          <t>9747</t>
        </is>
      </c>
      <c r="C51" s="22" t="inlineStr">
        <is>
          <t>Corporate</t>
        </is>
      </c>
      <c r="D51" s="22" t="inlineStr">
        <is>
          <t>Zara Hussain</t>
        </is>
      </c>
      <c r="E51" s="22" t="inlineStr">
        <is>
          <t>Export Services</t>
        </is>
      </c>
      <c r="F51" s="22" t="inlineStr">
        <is>
          <t>USD</t>
        </is>
      </c>
      <c r="G51" s="37" t="n">
        <v>106047.95</v>
      </c>
      <c r="H51" s="38" t="n">
        <v>29746449.97</v>
      </c>
      <c r="I51" s="39" t="n">
        <v>29.7464</v>
      </c>
      <c r="J51" s="22" t="inlineStr">
        <is>
          <t>Jun-26</t>
        </is>
      </c>
      <c r="K51" s="36" t="inlineStr">
        <is>
          <t>51342</t>
        </is>
      </c>
      <c r="L51" s="22" t="inlineStr">
        <is>
          <t>Jan-23-26</t>
        </is>
      </c>
      <c r="M51" s="22" t="inlineStr">
        <is>
          <t>Apr-25-26</t>
        </is>
      </c>
      <c r="N51" s="22" t="inlineStr">
        <is>
          <t>Z</t>
        </is>
      </c>
      <c r="O51" s="40" t="inlineStr">
        <is>
          <t>RICE</t>
        </is>
      </c>
      <c r="P51" s="22" t="inlineStr">
        <is>
          <t>Turkey</t>
        </is>
      </c>
      <c r="Q51" s="22" t="inlineStr">
        <is>
          <t>LC Sight</t>
        </is>
      </c>
    </row>
    <row r="52" ht="16" customHeight="1">
      <c r="A52" s="31" t="inlineStr">
        <is>
          <t>14315</t>
        </is>
      </c>
      <c r="B52" s="31" t="inlineStr">
        <is>
          <t>6622</t>
        </is>
      </c>
      <c r="C52" s="17" t="inlineStr">
        <is>
          <t>SME &amp; Distribution</t>
        </is>
      </c>
      <c r="D52" s="17" t="inlineStr">
        <is>
          <t>Salman Iqbal</t>
        </is>
      </c>
      <c r="E52" s="17" t="inlineStr">
        <is>
          <t>IT Exporters / Freelancers</t>
        </is>
      </c>
      <c r="F52" s="17" t="inlineStr">
        <is>
          <t>GBP</t>
        </is>
      </c>
      <c r="G52" s="32" t="n">
        <v>59363.16</v>
      </c>
      <c r="H52" s="33" t="n">
        <v>21121412.33</v>
      </c>
      <c r="I52" s="34" t="n">
        <v>21.1214</v>
      </c>
      <c r="J52" s="17" t="inlineStr">
        <is>
          <t>Feb-26</t>
        </is>
      </c>
      <c r="K52" s="31" t="inlineStr">
        <is>
          <t>51349</t>
        </is>
      </c>
      <c r="L52" s="17" t="inlineStr">
        <is>
          <t>Jan-13-26</t>
        </is>
      </c>
      <c r="M52" s="17" t="inlineStr">
        <is>
          <t>Apr-14-26</t>
        </is>
      </c>
      <c r="N52" s="17" t="inlineStr">
        <is>
          <t>P</t>
        </is>
      </c>
      <c r="O52" s="35" t="inlineStr">
        <is>
          <t>CHEMICAL PRODUCTS</t>
        </is>
      </c>
      <c r="P52" s="17" t="inlineStr">
        <is>
          <t>Germany</t>
        </is>
      </c>
      <c r="Q52" s="17" t="inlineStr">
        <is>
          <t>LC Usance</t>
        </is>
      </c>
    </row>
    <row r="53" ht="16" customHeight="1">
      <c r="A53" s="36" t="inlineStr">
        <is>
          <t>87610</t>
        </is>
      </c>
      <c r="B53" s="36" t="inlineStr">
        <is>
          <t>7182</t>
        </is>
      </c>
      <c r="C53" s="22" t="inlineStr">
        <is>
          <t>SME &amp; Distribution</t>
        </is>
      </c>
      <c r="D53" s="22" t="inlineStr">
        <is>
          <t>Bilal Ahmed</t>
        </is>
      </c>
      <c r="E53" s="22" t="inlineStr">
        <is>
          <t>Export Services</t>
        </is>
      </c>
      <c r="F53" s="22" t="inlineStr">
        <is>
          <t>GBP</t>
        </is>
      </c>
      <c r="G53" s="37" t="n">
        <v>343714.41</v>
      </c>
      <c r="H53" s="38" t="n">
        <v>122293587.08</v>
      </c>
      <c r="I53" s="39" t="n">
        <v>122.2936</v>
      </c>
      <c r="J53" s="22" t="inlineStr">
        <is>
          <t>Jan-26</t>
        </is>
      </c>
      <c r="K53" s="36" t="inlineStr">
        <is>
          <t>51354</t>
        </is>
      </c>
      <c r="L53" s="22" t="inlineStr">
        <is>
          <t>Jan-22-26</t>
        </is>
      </c>
      <c r="M53" s="22" t="inlineStr">
        <is>
          <t>Apr-4-26</t>
        </is>
      </c>
      <c r="N53" s="22" t="inlineStr">
        <is>
          <t>Z</t>
        </is>
      </c>
      <c r="O53" s="40" t="inlineStr">
        <is>
          <t>RICE</t>
        </is>
      </c>
      <c r="P53" s="22" t="inlineStr">
        <is>
          <t>Germany</t>
        </is>
      </c>
      <c r="Q53" s="22" t="inlineStr">
        <is>
          <t>LC Sight</t>
        </is>
      </c>
    </row>
    <row r="54" ht="16" customHeight="1">
      <c r="A54" s="31" t="inlineStr">
        <is>
          <t>87781</t>
        </is>
      </c>
      <c r="B54" s="31" t="inlineStr">
        <is>
          <t>4881</t>
        </is>
      </c>
      <c r="C54" s="17" t="inlineStr">
        <is>
          <t>Corporate</t>
        </is>
      </c>
      <c r="D54" s="17" t="inlineStr">
        <is>
          <t>Omar Siddiqui</t>
        </is>
      </c>
      <c r="E54" s="17" t="inlineStr">
        <is>
          <t>Export Services</t>
        </is>
      </c>
      <c r="F54" s="17" t="inlineStr">
        <is>
          <t>GBP</t>
        </is>
      </c>
      <c r="G54" s="32" t="n">
        <v>234120.68</v>
      </c>
      <c r="H54" s="33" t="n">
        <v>83300137.94</v>
      </c>
      <c r="I54" s="34" t="n">
        <v>83.3001</v>
      </c>
      <c r="J54" s="17" t="inlineStr">
        <is>
          <t>Jan-26</t>
        </is>
      </c>
      <c r="K54" s="31" t="inlineStr">
        <is>
          <t>51364</t>
        </is>
      </c>
      <c r="L54" s="17" t="inlineStr">
        <is>
          <t>Jan-5-26</t>
        </is>
      </c>
      <c r="M54" s="17" t="inlineStr">
        <is>
          <t>Apr-22-26</t>
        </is>
      </c>
      <c r="N54" s="17" t="inlineStr">
        <is>
          <t>Z</t>
        </is>
      </c>
      <c r="O54" s="35" t="inlineStr">
        <is>
          <t>LEATHER GOODS</t>
        </is>
      </c>
      <c r="P54" s="17" t="inlineStr">
        <is>
          <t>Netherlands</t>
        </is>
      </c>
      <c r="Q54" s="17" t="inlineStr">
        <is>
          <t>FDBC DA</t>
        </is>
      </c>
    </row>
    <row r="55" ht="16" customHeight="1">
      <c r="A55" s="36" t="inlineStr">
        <is>
          <t>76564</t>
        </is>
      </c>
      <c r="B55" s="36" t="inlineStr">
        <is>
          <t>9766</t>
        </is>
      </c>
      <c r="C55" s="22" t="inlineStr">
        <is>
          <t>Corporate</t>
        </is>
      </c>
      <c r="D55" s="22" t="inlineStr">
        <is>
          <t>Nadia Baig</t>
        </is>
      </c>
      <c r="E55" s="22" t="inlineStr">
        <is>
          <t>Export</t>
        </is>
      </c>
      <c r="F55" s="22" t="inlineStr">
        <is>
          <t>AED</t>
        </is>
      </c>
      <c r="G55" s="37" t="n">
        <v>146899.58</v>
      </c>
      <c r="H55" s="38" t="n">
        <v>11223127.91</v>
      </c>
      <c r="I55" s="39" t="n">
        <v>11.2231</v>
      </c>
      <c r="J55" s="22" t="inlineStr">
        <is>
          <t>Feb-26</t>
        </is>
      </c>
      <c r="K55" s="36" t="inlineStr">
        <is>
          <t>51369</t>
        </is>
      </c>
      <c r="L55" s="22" t="inlineStr">
        <is>
          <t>Jan-24-26</t>
        </is>
      </c>
      <c r="M55" s="22" t="inlineStr">
        <is>
          <t>Apr-13-26</t>
        </is>
      </c>
      <c r="N55" s="22" t="inlineStr">
        <is>
          <t>P</t>
        </is>
      </c>
      <c r="O55" s="40" t="inlineStr">
        <is>
          <t>LEATHER GOODS</t>
        </is>
      </c>
      <c r="P55" s="22" t="inlineStr">
        <is>
          <t>United States</t>
        </is>
      </c>
      <c r="Q55" s="22" t="inlineStr">
        <is>
          <t>LC Usance</t>
        </is>
      </c>
    </row>
    <row r="56" ht="16" customHeight="1">
      <c r="A56" s="31" t="inlineStr">
        <is>
          <t>39946</t>
        </is>
      </c>
      <c r="B56" s="31" t="inlineStr">
        <is>
          <t>8833</t>
        </is>
      </c>
      <c r="C56" s="17" t="inlineStr">
        <is>
          <t>Corporate</t>
        </is>
      </c>
      <c r="D56" s="17" t="inlineStr">
        <is>
          <t>Omar Siddiqui</t>
        </is>
      </c>
      <c r="E56" s="17" t="inlineStr">
        <is>
          <t>Export</t>
        </is>
      </c>
      <c r="F56" s="17" t="inlineStr">
        <is>
          <t>PKR</t>
        </is>
      </c>
      <c r="G56" s="32" t="n">
        <v>308501.54</v>
      </c>
      <c r="H56" s="33" t="n">
        <v>308501.54</v>
      </c>
      <c r="I56" s="34" t="n">
        <v>0.3085</v>
      </c>
      <c r="J56" s="17" t="inlineStr">
        <is>
          <t>Jan-26</t>
        </is>
      </c>
      <c r="K56" s="31" t="inlineStr">
        <is>
          <t>51380</t>
        </is>
      </c>
      <c r="L56" s="17" t="inlineStr">
        <is>
          <t>Jan-15-26</t>
        </is>
      </c>
      <c r="M56" s="17" t="inlineStr">
        <is>
          <t>Apr-26-26</t>
        </is>
      </c>
      <c r="N56" s="17" t="inlineStr">
        <is>
          <t>P</t>
        </is>
      </c>
      <c r="O56" s="35" t="inlineStr">
        <is>
          <t>FRUIT PRODUCE</t>
        </is>
      </c>
      <c r="P56" s="17" t="inlineStr">
        <is>
          <t>China</t>
        </is>
      </c>
      <c r="Q56" s="17" t="inlineStr">
        <is>
          <t>FDBC DA</t>
        </is>
      </c>
    </row>
    <row r="57" ht="16" customHeight="1">
      <c r="A57" s="36" t="inlineStr">
        <is>
          <t>94275</t>
        </is>
      </c>
      <c r="B57" s="36" t="inlineStr">
        <is>
          <t>6820</t>
        </is>
      </c>
      <c r="C57" s="22" t="inlineStr">
        <is>
          <t>Corporate</t>
        </is>
      </c>
      <c r="D57" s="22" t="inlineStr">
        <is>
          <t>Omar Siddiqui</t>
        </is>
      </c>
      <c r="E57" s="22" t="inlineStr">
        <is>
          <t>IT Exporters / Freelancers</t>
        </is>
      </c>
      <c r="F57" s="22" t="inlineStr">
        <is>
          <t>EUR</t>
        </is>
      </c>
      <c r="G57" s="37" t="n">
        <v>342119.6</v>
      </c>
      <c r="H57" s="38" t="n">
        <v>104414901.92</v>
      </c>
      <c r="I57" s="39" t="n">
        <v>104.4149</v>
      </c>
      <c r="J57" s="22" t="inlineStr">
        <is>
          <t>Jun-26</t>
        </is>
      </c>
      <c r="K57" s="36" t="inlineStr">
        <is>
          <t>51393</t>
        </is>
      </c>
      <c r="L57" s="22" t="inlineStr">
        <is>
          <t>Jan-24-26</t>
        </is>
      </c>
      <c r="M57" s="22" t="inlineStr">
        <is>
          <t>Apr-1-26</t>
        </is>
      </c>
      <c r="N57" s="22" t="inlineStr">
        <is>
          <t>P</t>
        </is>
      </c>
      <c r="O57" s="40" t="inlineStr">
        <is>
          <t>TEXTILE GOODS</t>
        </is>
      </c>
      <c r="P57" s="22" t="inlineStr">
        <is>
          <t>United Kingdom</t>
        </is>
      </c>
      <c r="Q57" s="22" t="inlineStr">
        <is>
          <t>Inland LC Sight</t>
        </is>
      </c>
    </row>
    <row r="58" ht="16" customHeight="1">
      <c r="A58" s="31" t="inlineStr">
        <is>
          <t>75092</t>
        </is>
      </c>
      <c r="B58" s="31" t="inlineStr">
        <is>
          <t>1051</t>
        </is>
      </c>
      <c r="C58" s="17" t="inlineStr">
        <is>
          <t>Commercial</t>
        </is>
      </c>
      <c r="D58" s="17" t="inlineStr">
        <is>
          <t>Faisal Khan</t>
        </is>
      </c>
      <c r="E58" s="17" t="inlineStr">
        <is>
          <t>IT Exporters / Freelancers</t>
        </is>
      </c>
      <c r="F58" s="17" t="inlineStr">
        <is>
          <t>PKR</t>
        </is>
      </c>
      <c r="G58" s="32" t="n">
        <v>214462.92</v>
      </c>
      <c r="H58" s="33" t="n">
        <v>214462.92</v>
      </c>
      <c r="I58" s="34" t="n">
        <v>0.2145</v>
      </c>
      <c r="J58" s="17" t="inlineStr">
        <is>
          <t>Jun-26</t>
        </is>
      </c>
      <c r="K58" s="31" t="inlineStr">
        <is>
          <t>51397</t>
        </is>
      </c>
      <c r="L58" s="17" t="inlineStr">
        <is>
          <t>Jan-5-26</t>
        </is>
      </c>
      <c r="M58" s="17" t="inlineStr">
        <is>
          <t>Apr-28-26</t>
        </is>
      </c>
      <c r="N58" s="17" t="inlineStr">
        <is>
          <t>P</t>
        </is>
      </c>
      <c r="O58" s="35" t="inlineStr">
        <is>
          <t>CHEMICAL PRODUCTS</t>
        </is>
      </c>
      <c r="P58" s="17" t="inlineStr">
        <is>
          <t>Netherlands</t>
        </is>
      </c>
      <c r="Q58" s="17" t="inlineStr">
        <is>
          <t>FDBC DA</t>
        </is>
      </c>
    </row>
    <row r="59" ht="16" customHeight="1">
      <c r="A59" s="36" t="inlineStr">
        <is>
          <t>12731</t>
        </is>
      </c>
      <c r="B59" s="36" t="inlineStr">
        <is>
          <t>1534</t>
        </is>
      </c>
      <c r="C59" s="22" t="inlineStr">
        <is>
          <t>SME &amp; Distribution</t>
        </is>
      </c>
      <c r="D59" s="22" t="inlineStr">
        <is>
          <t>Hassan Raza</t>
        </is>
      </c>
      <c r="E59" s="22" t="inlineStr">
        <is>
          <t>Guarantee</t>
        </is>
      </c>
      <c r="F59" s="22" t="inlineStr">
        <is>
          <t>AED</t>
        </is>
      </c>
      <c r="G59" s="37" t="n">
        <v>16240.25</v>
      </c>
      <c r="H59" s="38" t="n">
        <v>1240755.1</v>
      </c>
      <c r="I59" s="39" t="n">
        <v>1.2408</v>
      </c>
      <c r="J59" s="22" t="inlineStr">
        <is>
          <t>Jan-26</t>
        </is>
      </c>
      <c r="K59" s="36" t="inlineStr">
        <is>
          <t>51402</t>
        </is>
      </c>
      <c r="L59" s="22" t="inlineStr">
        <is>
          <t>Jan-25-26</t>
        </is>
      </c>
      <c r="M59" s="22" t="inlineStr">
        <is>
          <t>Apr-16-26</t>
        </is>
      </c>
      <c r="N59" s="22" t="inlineStr">
        <is>
          <t>P</t>
        </is>
      </c>
      <c r="O59" s="40" t="inlineStr">
        <is>
          <t>ENGINEERING GOODS</t>
        </is>
      </c>
      <c r="P59" s="22" t="inlineStr">
        <is>
          <t>Netherlands</t>
        </is>
      </c>
      <c r="Q59" s="22" t="inlineStr">
        <is>
          <t>LC Sight</t>
        </is>
      </c>
    </row>
    <row r="60" ht="16" customHeight="1">
      <c r="A60" s="31" t="inlineStr">
        <is>
          <t>29612</t>
        </is>
      </c>
      <c r="B60" s="31" t="inlineStr">
        <is>
          <t>1522</t>
        </is>
      </c>
      <c r="C60" s="17" t="inlineStr">
        <is>
          <t>Corporate</t>
        </is>
      </c>
      <c r="D60" s="17" t="inlineStr">
        <is>
          <t>Nadia Baig</t>
        </is>
      </c>
      <c r="E60" s="17" t="inlineStr">
        <is>
          <t>IT Exporters / Freelancers</t>
        </is>
      </c>
      <c r="F60" s="17" t="inlineStr">
        <is>
          <t>GBP</t>
        </is>
      </c>
      <c r="G60" s="32" t="n">
        <v>289090.68</v>
      </c>
      <c r="H60" s="33" t="n">
        <v>102858463.94</v>
      </c>
      <c r="I60" s="34" t="n">
        <v>102.8585</v>
      </c>
      <c r="J60" s="17" t="inlineStr">
        <is>
          <t>Mar-26</t>
        </is>
      </c>
      <c r="K60" s="31" t="inlineStr">
        <is>
          <t>51415</t>
        </is>
      </c>
      <c r="L60" s="17" t="inlineStr">
        <is>
          <t>Jan-9-26</t>
        </is>
      </c>
      <c r="M60" s="17" t="inlineStr">
        <is>
          <t>Apr-6-26</t>
        </is>
      </c>
      <c r="N60" s="17" t="inlineStr">
        <is>
          <t>P</t>
        </is>
      </c>
      <c r="O60" s="35" t="inlineStr">
        <is>
          <t>CHEMICAL PRODUCTS</t>
        </is>
      </c>
      <c r="P60" s="17" t="inlineStr">
        <is>
          <t>Netherlands</t>
        </is>
      </c>
      <c r="Q60" s="17" t="inlineStr">
        <is>
          <t>Inland LC Sight</t>
        </is>
      </c>
    </row>
    <row r="61" ht="16" customHeight="1">
      <c r="A61" s="36" t="inlineStr">
        <is>
          <t>61007</t>
        </is>
      </c>
      <c r="B61" s="36" t="inlineStr">
        <is>
          <t>7757</t>
        </is>
      </c>
      <c r="C61" s="22" t="inlineStr">
        <is>
          <t>SME &amp; Distribution</t>
        </is>
      </c>
      <c r="D61" s="22" t="inlineStr">
        <is>
          <t>Nadia Baig</t>
        </is>
      </c>
      <c r="E61" s="22" t="inlineStr">
        <is>
          <t>Export Services</t>
        </is>
      </c>
      <c r="F61" s="22" t="inlineStr">
        <is>
          <t>USD</t>
        </is>
      </c>
      <c r="G61" s="37" t="n">
        <v>109645.92</v>
      </c>
      <c r="H61" s="38" t="n">
        <v>30755680.56</v>
      </c>
      <c r="I61" s="39" t="n">
        <v>30.7557</v>
      </c>
      <c r="J61" s="22" t="inlineStr">
        <is>
          <t>Mar-26</t>
        </is>
      </c>
      <c r="K61" s="36" t="inlineStr">
        <is>
          <t>51427</t>
        </is>
      </c>
      <c r="L61" s="22" t="inlineStr">
        <is>
          <t>Jan-23-26</t>
        </is>
      </c>
      <c r="M61" s="22" t="inlineStr">
        <is>
          <t>Apr-9-26</t>
        </is>
      </c>
      <c r="N61" s="22" t="inlineStr">
        <is>
          <t>P</t>
        </is>
      </c>
      <c r="O61" s="40" t="inlineStr">
        <is>
          <t>FRUIT PRODUCE</t>
        </is>
      </c>
      <c r="P61" s="22" t="inlineStr">
        <is>
          <t>UAE</t>
        </is>
      </c>
      <c r="Q61" s="22" t="inlineStr">
        <is>
          <t>FDBC DP</t>
        </is>
      </c>
    </row>
    <row r="62" ht="16" customHeight="1">
      <c r="A62" s="31" t="inlineStr">
        <is>
          <t>79280</t>
        </is>
      </c>
      <c r="B62" s="31" t="inlineStr">
        <is>
          <t>4643</t>
        </is>
      </c>
      <c r="C62" s="17" t="inlineStr">
        <is>
          <t>Corporate</t>
        </is>
      </c>
      <c r="D62" s="17" t="inlineStr">
        <is>
          <t>Zara Hussain</t>
        </is>
      </c>
      <c r="E62" s="17" t="inlineStr">
        <is>
          <t>Export</t>
        </is>
      </c>
      <c r="F62" s="17" t="inlineStr">
        <is>
          <t>EUR</t>
        </is>
      </c>
      <c r="G62" s="32" t="n">
        <v>140729.1</v>
      </c>
      <c r="H62" s="33" t="n">
        <v>42950521.32</v>
      </c>
      <c r="I62" s="34" t="n">
        <v>42.9505</v>
      </c>
      <c r="J62" s="17" t="inlineStr">
        <is>
          <t>Mar-26</t>
        </is>
      </c>
      <c r="K62" s="31" t="inlineStr">
        <is>
          <t>51432</t>
        </is>
      </c>
      <c r="L62" s="17" t="inlineStr">
        <is>
          <t>Jan-26-26</t>
        </is>
      </c>
      <c r="M62" s="17" t="inlineStr">
        <is>
          <t>Apr-6-26</t>
        </is>
      </c>
      <c r="N62" s="17" t="inlineStr">
        <is>
          <t>Z</t>
        </is>
      </c>
      <c r="O62" s="35" t="inlineStr">
        <is>
          <t>RICE</t>
        </is>
      </c>
      <c r="P62" s="17" t="inlineStr">
        <is>
          <t>United States</t>
        </is>
      </c>
      <c r="Q62" s="17" t="inlineStr">
        <is>
          <t>LC Sight</t>
        </is>
      </c>
    </row>
    <row r="63" ht="16" customHeight="1">
      <c r="A63" s="36" t="inlineStr">
        <is>
          <t>70902</t>
        </is>
      </c>
      <c r="B63" s="36" t="inlineStr">
        <is>
          <t>5548</t>
        </is>
      </c>
      <c r="C63" s="22" t="inlineStr">
        <is>
          <t>Corporate</t>
        </is>
      </c>
      <c r="D63" s="22" t="inlineStr">
        <is>
          <t>Zara Hussain</t>
        </is>
      </c>
      <c r="E63" s="22" t="inlineStr">
        <is>
          <t>IT Exporters / Freelancers</t>
        </is>
      </c>
      <c r="F63" s="22" t="inlineStr">
        <is>
          <t>PKR</t>
        </is>
      </c>
      <c r="G63" s="37" t="n">
        <v>114888.32</v>
      </c>
      <c r="H63" s="38" t="n">
        <v>114888.32</v>
      </c>
      <c r="I63" s="39" t="n">
        <v>0.1149</v>
      </c>
      <c r="J63" s="22" t="inlineStr">
        <is>
          <t>Apr-26</t>
        </is>
      </c>
      <c r="K63" s="36" t="inlineStr">
        <is>
          <t>51444</t>
        </is>
      </c>
      <c r="L63" s="22" t="inlineStr">
        <is>
          <t>Jan-23-26</t>
        </is>
      </c>
      <c r="M63" s="22" t="inlineStr">
        <is>
          <t>Apr-20-26</t>
        </is>
      </c>
      <c r="N63" s="22" t="inlineStr">
        <is>
          <t>P</t>
        </is>
      </c>
      <c r="O63" s="40" t="inlineStr">
        <is>
          <t>SPORTS GOODS</t>
        </is>
      </c>
      <c r="P63" s="22" t="inlineStr">
        <is>
          <t>France</t>
        </is>
      </c>
      <c r="Q63" s="22" t="inlineStr">
        <is>
          <t>FDBC DA</t>
        </is>
      </c>
    </row>
    <row r="64" ht="16" customHeight="1">
      <c r="A64" s="31" t="inlineStr">
        <is>
          <t>97569</t>
        </is>
      </c>
      <c r="B64" s="31" t="inlineStr">
        <is>
          <t>3512</t>
        </is>
      </c>
      <c r="C64" s="17" t="inlineStr">
        <is>
          <t>Corporate</t>
        </is>
      </c>
      <c r="D64" s="17" t="inlineStr">
        <is>
          <t>Bilal Ahmed</t>
        </is>
      </c>
      <c r="E64" s="17" t="inlineStr">
        <is>
          <t>Export Services</t>
        </is>
      </c>
      <c r="F64" s="17" t="inlineStr">
        <is>
          <t>AED</t>
        </is>
      </c>
      <c r="G64" s="32" t="n">
        <v>177547.39</v>
      </c>
      <c r="H64" s="33" t="n">
        <v>13564620.6</v>
      </c>
      <c r="I64" s="34" t="n">
        <v>13.5646</v>
      </c>
      <c r="J64" s="17" t="inlineStr">
        <is>
          <t>Apr-26</t>
        </is>
      </c>
      <c r="K64" s="31" t="inlineStr">
        <is>
          <t>51457</t>
        </is>
      </c>
      <c r="L64" s="17" t="inlineStr">
        <is>
          <t>Jan-11-26</t>
        </is>
      </c>
      <c r="M64" s="17" t="inlineStr">
        <is>
          <t>Apr-11-26</t>
        </is>
      </c>
      <c r="N64" s="17" t="inlineStr">
        <is>
          <t>Z</t>
        </is>
      </c>
      <c r="O64" s="35" t="inlineStr">
        <is>
          <t>SPORTS GOODS</t>
        </is>
      </c>
      <c r="P64" s="17" t="inlineStr">
        <is>
          <t>Netherlands</t>
        </is>
      </c>
      <c r="Q64" s="17" t="inlineStr">
        <is>
          <t>Exp Advance Payment</t>
        </is>
      </c>
    </row>
    <row r="65" ht="16" customHeight="1">
      <c r="A65" s="36" t="inlineStr">
        <is>
          <t>92403</t>
        </is>
      </c>
      <c r="B65" s="36" t="inlineStr">
        <is>
          <t>5052</t>
        </is>
      </c>
      <c r="C65" s="22" t="inlineStr">
        <is>
          <t>Corporate</t>
        </is>
      </c>
      <c r="D65" s="22" t="inlineStr">
        <is>
          <t>Salman Iqbal</t>
        </is>
      </c>
      <c r="E65" s="22" t="inlineStr">
        <is>
          <t>Export</t>
        </is>
      </c>
      <c r="F65" s="22" t="inlineStr">
        <is>
          <t>EUR</t>
        </is>
      </c>
      <c r="G65" s="37" t="n">
        <v>340350.05</v>
      </c>
      <c r="H65" s="38" t="n">
        <v>103874835.26</v>
      </c>
      <c r="I65" s="39" t="n">
        <v>103.8748</v>
      </c>
      <c r="J65" s="22" t="inlineStr">
        <is>
          <t>Apr-26</t>
        </is>
      </c>
      <c r="K65" s="36" t="inlineStr">
        <is>
          <t>51470</t>
        </is>
      </c>
      <c r="L65" s="22" t="inlineStr">
        <is>
          <t>Jan-6-26</t>
        </is>
      </c>
      <c r="M65" s="22" t="inlineStr">
        <is>
          <t>Apr-2-26</t>
        </is>
      </c>
      <c r="N65" s="22" t="inlineStr">
        <is>
          <t>Z</t>
        </is>
      </c>
      <c r="O65" s="40" t="inlineStr">
        <is>
          <t>SURGICAL ITEMS</t>
        </is>
      </c>
      <c r="P65" s="22" t="inlineStr">
        <is>
          <t>Belgium</t>
        </is>
      </c>
      <c r="Q65" s="22" t="inlineStr">
        <is>
          <t>FDBC DP</t>
        </is>
      </c>
    </row>
    <row r="66" ht="16" customHeight="1">
      <c r="A66" s="31" t="inlineStr">
        <is>
          <t>59775</t>
        </is>
      </c>
      <c r="B66" s="31" t="inlineStr">
        <is>
          <t>4527</t>
        </is>
      </c>
      <c r="C66" s="17" t="inlineStr">
        <is>
          <t>SME &amp; Distribution</t>
        </is>
      </c>
      <c r="D66" s="17" t="inlineStr">
        <is>
          <t>Tariq Mehmood</t>
        </is>
      </c>
      <c r="E66" s="17" t="inlineStr">
        <is>
          <t>Export</t>
        </is>
      </c>
      <c r="F66" s="17" t="inlineStr">
        <is>
          <t>PKR</t>
        </is>
      </c>
      <c r="G66" s="32" t="n">
        <v>122036.35</v>
      </c>
      <c r="H66" s="33" t="n">
        <v>122036.35</v>
      </c>
      <c r="I66" s="34" t="n">
        <v>0.122</v>
      </c>
      <c r="J66" s="17" t="inlineStr">
        <is>
          <t>Mar-26</t>
        </is>
      </c>
      <c r="K66" s="31" t="inlineStr">
        <is>
          <t>51482</t>
        </is>
      </c>
      <c r="L66" s="17" t="inlineStr">
        <is>
          <t>Jan-14-26</t>
        </is>
      </c>
      <c r="M66" s="17" t="inlineStr">
        <is>
          <t>Apr-20-26</t>
        </is>
      </c>
      <c r="N66" s="17" t="inlineStr">
        <is>
          <t>P</t>
        </is>
      </c>
      <c r="O66" s="35" t="inlineStr">
        <is>
          <t>RICE</t>
        </is>
      </c>
      <c r="P66" s="17" t="inlineStr">
        <is>
          <t>Turkey</t>
        </is>
      </c>
      <c r="Q66" s="17" t="inlineStr">
        <is>
          <t>Inland LC Sight</t>
        </is>
      </c>
    </row>
    <row r="67" ht="16" customHeight="1">
      <c r="A67" s="36" t="inlineStr">
        <is>
          <t>32103</t>
        </is>
      </c>
      <c r="B67" s="36" t="inlineStr">
        <is>
          <t>3349</t>
        </is>
      </c>
      <c r="C67" s="22" t="inlineStr">
        <is>
          <t>SME &amp; Distribution</t>
        </is>
      </c>
      <c r="D67" s="22" t="inlineStr">
        <is>
          <t>Ayesha Noor</t>
        </is>
      </c>
      <c r="E67" s="22" t="inlineStr">
        <is>
          <t>Guarantee</t>
        </is>
      </c>
      <c r="F67" s="22" t="inlineStr">
        <is>
          <t>GBP</t>
        </is>
      </c>
      <c r="G67" s="37" t="n">
        <v>243429.91</v>
      </c>
      <c r="H67" s="38" t="n">
        <v>86612361.98</v>
      </c>
      <c r="I67" s="39" t="n">
        <v>86.61239999999999</v>
      </c>
      <c r="J67" s="22" t="inlineStr">
        <is>
          <t>May-26</t>
        </is>
      </c>
      <c r="K67" s="36" t="inlineStr">
        <is>
          <t>51490</t>
        </is>
      </c>
      <c r="L67" s="22" t="inlineStr">
        <is>
          <t>Jan-6-26</t>
        </is>
      </c>
      <c r="M67" s="22" t="inlineStr">
        <is>
          <t>Apr-15-26</t>
        </is>
      </c>
      <c r="N67" s="22" t="inlineStr">
        <is>
          <t>P</t>
        </is>
      </c>
      <c r="O67" s="40" t="inlineStr">
        <is>
          <t>FROZEN FISH</t>
        </is>
      </c>
      <c r="P67" s="22" t="inlineStr">
        <is>
          <t>Bangladesh</t>
        </is>
      </c>
      <c r="Q67" s="22" t="inlineStr">
        <is>
          <t>LC Usance</t>
        </is>
      </c>
    </row>
    <row r="68" ht="16" customHeight="1">
      <c r="A68" s="31" t="inlineStr">
        <is>
          <t>88091</t>
        </is>
      </c>
      <c r="B68" s="31" t="inlineStr">
        <is>
          <t>5914</t>
        </is>
      </c>
      <c r="C68" s="17" t="inlineStr">
        <is>
          <t>SME &amp; Distribution</t>
        </is>
      </c>
      <c r="D68" s="17" t="inlineStr">
        <is>
          <t>Bilal Ahmed</t>
        </is>
      </c>
      <c r="E68" s="17" t="inlineStr">
        <is>
          <t>Export Services</t>
        </is>
      </c>
      <c r="F68" s="17" t="inlineStr">
        <is>
          <t>AED</t>
        </is>
      </c>
      <c r="G68" s="32" t="n">
        <v>165075.33</v>
      </c>
      <c r="H68" s="33" t="n">
        <v>12611755.21</v>
      </c>
      <c r="I68" s="34" t="n">
        <v>12.6118</v>
      </c>
      <c r="J68" s="17" t="inlineStr">
        <is>
          <t>Apr-26</t>
        </is>
      </c>
      <c r="K68" s="31" t="inlineStr">
        <is>
          <t>51499</t>
        </is>
      </c>
      <c r="L68" s="17" t="inlineStr">
        <is>
          <t>Jan-15-26</t>
        </is>
      </c>
      <c r="M68" s="17" t="inlineStr">
        <is>
          <t>Apr-7-26</t>
        </is>
      </c>
      <c r="N68" s="17" t="inlineStr">
        <is>
          <t>P</t>
        </is>
      </c>
      <c r="O68" s="35" t="inlineStr">
        <is>
          <t>FROZEN FISH</t>
        </is>
      </c>
      <c r="P68" s="17" t="inlineStr">
        <is>
          <t>China</t>
        </is>
      </c>
      <c r="Q68" s="17" t="inlineStr">
        <is>
          <t>Inland LC Sight</t>
        </is>
      </c>
    </row>
    <row r="69" ht="16" customHeight="1">
      <c r="A69" s="36" t="inlineStr">
        <is>
          <t>59937</t>
        </is>
      </c>
      <c r="B69" s="36" t="inlineStr">
        <is>
          <t>8142</t>
        </is>
      </c>
      <c r="C69" s="22" t="inlineStr">
        <is>
          <t>Corporate</t>
        </is>
      </c>
      <c r="D69" s="22" t="inlineStr">
        <is>
          <t>Omar Siddiqui</t>
        </is>
      </c>
      <c r="E69" s="22" t="inlineStr">
        <is>
          <t>Export Services</t>
        </is>
      </c>
      <c r="F69" s="22" t="inlineStr">
        <is>
          <t>USD</t>
        </is>
      </c>
      <c r="G69" s="37" t="n">
        <v>256540.73</v>
      </c>
      <c r="H69" s="38" t="n">
        <v>71959674.77</v>
      </c>
      <c r="I69" s="39" t="n">
        <v>71.9597</v>
      </c>
      <c r="J69" s="22" t="inlineStr">
        <is>
          <t>Mar-26</t>
        </is>
      </c>
      <c r="K69" s="36" t="inlineStr">
        <is>
          <t>51514</t>
        </is>
      </c>
      <c r="L69" s="22" t="inlineStr">
        <is>
          <t>Jan-18-26</t>
        </is>
      </c>
      <c r="M69" s="22" t="inlineStr">
        <is>
          <t>Apr-25-26</t>
        </is>
      </c>
      <c r="N69" s="22" t="inlineStr">
        <is>
          <t>P</t>
        </is>
      </c>
      <c r="O69" s="40" t="inlineStr">
        <is>
          <t>GARMENTS</t>
        </is>
      </c>
      <c r="P69" s="22" t="inlineStr">
        <is>
          <t>Turkey</t>
        </is>
      </c>
      <c r="Q69" s="22" t="inlineStr">
        <is>
          <t>LC Usance</t>
        </is>
      </c>
    </row>
    <row r="70" ht="16" customHeight="1">
      <c r="A70" s="31" t="inlineStr">
        <is>
          <t>34747</t>
        </is>
      </c>
      <c r="B70" s="31" t="inlineStr">
        <is>
          <t>3192</t>
        </is>
      </c>
      <c r="C70" s="17" t="inlineStr">
        <is>
          <t>Corporate</t>
        </is>
      </c>
      <c r="D70" s="17" t="inlineStr">
        <is>
          <t>Salman Iqbal</t>
        </is>
      </c>
      <c r="E70" s="17" t="inlineStr">
        <is>
          <t>Import</t>
        </is>
      </c>
      <c r="F70" s="17" t="inlineStr">
        <is>
          <t>AED</t>
        </is>
      </c>
      <c r="G70" s="32" t="n">
        <v>124342.86</v>
      </c>
      <c r="H70" s="33" t="n">
        <v>9499794.5</v>
      </c>
      <c r="I70" s="34" t="n">
        <v>9.4998</v>
      </c>
      <c r="J70" s="17" t="inlineStr">
        <is>
          <t>Mar-26</t>
        </is>
      </c>
      <c r="K70" s="31" t="inlineStr">
        <is>
          <t>51518</t>
        </is>
      </c>
      <c r="L70" s="17" t="inlineStr">
        <is>
          <t>Jan-7-26</t>
        </is>
      </c>
      <c r="M70" s="17" t="inlineStr">
        <is>
          <t>Apr-8-26</t>
        </is>
      </c>
      <c r="N70" s="17" t="inlineStr">
        <is>
          <t>P</t>
        </is>
      </c>
      <c r="O70" s="35" t="inlineStr">
        <is>
          <t>TEXTILE GOODS</t>
        </is>
      </c>
      <c r="P70" s="17" t="inlineStr">
        <is>
          <t>United Kingdom</t>
        </is>
      </c>
      <c r="Q70" s="17" t="inlineStr">
        <is>
          <t>FDBC DP</t>
        </is>
      </c>
    </row>
    <row r="71" ht="16" customHeight="1">
      <c r="A71" s="36" t="inlineStr">
        <is>
          <t>10845</t>
        </is>
      </c>
      <c r="B71" s="36" t="inlineStr">
        <is>
          <t>4013</t>
        </is>
      </c>
      <c r="C71" s="22" t="inlineStr">
        <is>
          <t>SME &amp; Distribution</t>
        </is>
      </c>
      <c r="D71" s="22" t="inlineStr">
        <is>
          <t>Faisal Khan</t>
        </is>
      </c>
      <c r="E71" s="22" t="inlineStr">
        <is>
          <t>Import</t>
        </is>
      </c>
      <c r="F71" s="22" t="inlineStr">
        <is>
          <t>AED</t>
        </is>
      </c>
      <c r="G71" s="37" t="n">
        <v>126595.4</v>
      </c>
      <c r="H71" s="38" t="n">
        <v>9671888.560000001</v>
      </c>
      <c r="I71" s="39" t="n">
        <v>9.671900000000001</v>
      </c>
      <c r="J71" s="22" t="inlineStr">
        <is>
          <t>Mar-26</t>
        </is>
      </c>
      <c r="K71" s="36" t="inlineStr">
        <is>
          <t>51526</t>
        </is>
      </c>
      <c r="L71" s="22" t="inlineStr">
        <is>
          <t>Jan-10-26</t>
        </is>
      </c>
      <c r="M71" s="22" t="inlineStr">
        <is>
          <t>Apr-1-26</t>
        </is>
      </c>
      <c r="N71" s="22" t="inlineStr">
        <is>
          <t>Z</t>
        </is>
      </c>
      <c r="O71" s="40" t="inlineStr">
        <is>
          <t>SPORTS GOODS</t>
        </is>
      </c>
      <c r="P71" s="22" t="inlineStr">
        <is>
          <t>Belgium</t>
        </is>
      </c>
      <c r="Q71" s="22" t="inlineStr">
        <is>
          <t>FDBC DA</t>
        </is>
      </c>
    </row>
    <row r="72" ht="16" customHeight="1">
      <c r="A72" s="31" t="inlineStr">
        <is>
          <t>86247</t>
        </is>
      </c>
      <c r="B72" s="31" t="inlineStr">
        <is>
          <t>1673</t>
        </is>
      </c>
      <c r="C72" s="17" t="inlineStr">
        <is>
          <t>SME &amp; Distribution</t>
        </is>
      </c>
      <c r="D72" s="17" t="inlineStr">
        <is>
          <t>Hassan Raza</t>
        </is>
      </c>
      <c r="E72" s="17" t="inlineStr">
        <is>
          <t>Export</t>
        </is>
      </c>
      <c r="F72" s="17" t="inlineStr">
        <is>
          <t>EUR</t>
        </is>
      </c>
      <c r="G72" s="32" t="n">
        <v>320370.2</v>
      </c>
      <c r="H72" s="33" t="n">
        <v>97776985.04000001</v>
      </c>
      <c r="I72" s="34" t="n">
        <v>97.777</v>
      </c>
      <c r="J72" s="17" t="inlineStr">
        <is>
          <t>Feb-26</t>
        </is>
      </c>
      <c r="K72" s="31" t="inlineStr">
        <is>
          <t>51540</t>
        </is>
      </c>
      <c r="L72" s="17" t="inlineStr">
        <is>
          <t>Jan-23-26</t>
        </is>
      </c>
      <c r="M72" s="17" t="inlineStr">
        <is>
          <t>Apr-22-26</t>
        </is>
      </c>
      <c r="N72" s="17" t="inlineStr">
        <is>
          <t>Z</t>
        </is>
      </c>
      <c r="O72" s="35" t="inlineStr">
        <is>
          <t>SPORTS GOODS</t>
        </is>
      </c>
      <c r="P72" s="17" t="inlineStr">
        <is>
          <t>Belgium</t>
        </is>
      </c>
      <c r="Q72" s="17" t="inlineStr">
        <is>
          <t>FDBC DA</t>
        </is>
      </c>
    </row>
    <row r="73" ht="16" customHeight="1">
      <c r="A73" s="36" t="inlineStr">
        <is>
          <t>94978</t>
        </is>
      </c>
      <c r="B73" s="36" t="inlineStr">
        <is>
          <t>9098</t>
        </is>
      </c>
      <c r="C73" s="22" t="inlineStr">
        <is>
          <t>Commercial</t>
        </is>
      </c>
      <c r="D73" s="22" t="inlineStr">
        <is>
          <t>Omar Siddiqui</t>
        </is>
      </c>
      <c r="E73" s="22" t="inlineStr">
        <is>
          <t>Guarantee</t>
        </is>
      </c>
      <c r="F73" s="22" t="inlineStr">
        <is>
          <t>PKR</t>
        </is>
      </c>
      <c r="G73" s="37" t="n">
        <v>92971.50999999999</v>
      </c>
      <c r="H73" s="38" t="n">
        <v>92971.50999999999</v>
      </c>
      <c r="I73" s="39" t="n">
        <v>0.093</v>
      </c>
      <c r="J73" s="22" t="inlineStr">
        <is>
          <t>Apr-26</t>
        </is>
      </c>
      <c r="K73" s="36" t="inlineStr">
        <is>
          <t>51541</t>
        </is>
      </c>
      <c r="L73" s="22" t="inlineStr">
        <is>
          <t>Jan-14-26</t>
        </is>
      </c>
      <c r="M73" s="22" t="inlineStr">
        <is>
          <t>Apr-23-26</t>
        </is>
      </c>
      <c r="N73" s="22" t="inlineStr">
        <is>
          <t>P</t>
        </is>
      </c>
      <c r="O73" s="40" t="inlineStr">
        <is>
          <t>SPORTS GOODS</t>
        </is>
      </c>
      <c r="P73" s="22" t="inlineStr">
        <is>
          <t>Germany</t>
        </is>
      </c>
      <c r="Q73" s="22" t="inlineStr">
        <is>
          <t>FDBC DP</t>
        </is>
      </c>
    </row>
    <row r="74" ht="16" customHeight="1">
      <c r="A74" s="31" t="inlineStr">
        <is>
          <t>57047</t>
        </is>
      </c>
      <c r="B74" s="31" t="inlineStr">
        <is>
          <t>6986</t>
        </is>
      </c>
      <c r="C74" s="17" t="inlineStr">
        <is>
          <t>Commercial</t>
        </is>
      </c>
      <c r="D74" s="17" t="inlineStr">
        <is>
          <t>Tariq Mehmood</t>
        </is>
      </c>
      <c r="E74" s="17" t="inlineStr">
        <is>
          <t>Import</t>
        </is>
      </c>
      <c r="F74" s="17" t="inlineStr">
        <is>
          <t>GBP</t>
        </is>
      </c>
      <c r="G74" s="32" t="n">
        <v>98006.56</v>
      </c>
      <c r="H74" s="33" t="n">
        <v>34870734.05</v>
      </c>
      <c r="I74" s="34" t="n">
        <v>34.8707</v>
      </c>
      <c r="J74" s="17" t="inlineStr">
        <is>
          <t>Mar-26</t>
        </is>
      </c>
      <c r="K74" s="31" t="inlineStr">
        <is>
          <t>51551</t>
        </is>
      </c>
      <c r="L74" s="17" t="inlineStr">
        <is>
          <t>Jan-6-26</t>
        </is>
      </c>
      <c r="M74" s="17" t="inlineStr">
        <is>
          <t>Apr-20-26</t>
        </is>
      </c>
      <c r="N74" s="17" t="inlineStr">
        <is>
          <t>Z</t>
        </is>
      </c>
      <c r="O74" s="35" t="inlineStr">
        <is>
          <t>PHARMACEUTICAL ITEMS</t>
        </is>
      </c>
      <c r="P74" s="17" t="inlineStr">
        <is>
          <t>United States</t>
        </is>
      </c>
      <c r="Q74" s="17" t="inlineStr">
        <is>
          <t>LC Usance</t>
        </is>
      </c>
    </row>
    <row r="75" ht="16" customHeight="1">
      <c r="A75" s="36" t="inlineStr">
        <is>
          <t>21507</t>
        </is>
      </c>
      <c r="B75" s="36" t="inlineStr">
        <is>
          <t>8893</t>
        </is>
      </c>
      <c r="C75" s="22" t="inlineStr">
        <is>
          <t>Corporate</t>
        </is>
      </c>
      <c r="D75" s="22" t="inlineStr">
        <is>
          <t>Nadia Baig</t>
        </is>
      </c>
      <c r="E75" s="22" t="inlineStr">
        <is>
          <t>IT Exporters / Freelancers</t>
        </is>
      </c>
      <c r="F75" s="22" t="inlineStr">
        <is>
          <t>USD</t>
        </is>
      </c>
      <c r="G75" s="37" t="n">
        <v>74759.3</v>
      </c>
      <c r="H75" s="38" t="n">
        <v>20969983.65</v>
      </c>
      <c r="I75" s="39" t="n">
        <v>20.97</v>
      </c>
      <c r="J75" s="22" t="inlineStr">
        <is>
          <t>Jan-26</t>
        </is>
      </c>
      <c r="K75" s="36" t="inlineStr">
        <is>
          <t>51553</t>
        </is>
      </c>
      <c r="L75" s="22" t="inlineStr">
        <is>
          <t>Jan-28-26</t>
        </is>
      </c>
      <c r="M75" s="22" t="inlineStr">
        <is>
          <t>Apr-8-26</t>
        </is>
      </c>
      <c r="N75" s="22" t="inlineStr">
        <is>
          <t>Z</t>
        </is>
      </c>
      <c r="O75" s="40" t="inlineStr">
        <is>
          <t>SALT MINERALS</t>
        </is>
      </c>
      <c r="P75" s="22" t="inlineStr">
        <is>
          <t>Belgium</t>
        </is>
      </c>
      <c r="Q75" s="22" t="inlineStr">
        <is>
          <t>FDBC DA</t>
        </is>
      </c>
    </row>
    <row r="76" ht="16" customHeight="1">
      <c r="A76" s="31" t="inlineStr">
        <is>
          <t>83689</t>
        </is>
      </c>
      <c r="B76" s="31" t="inlineStr">
        <is>
          <t>7497</t>
        </is>
      </c>
      <c r="C76" s="17" t="inlineStr">
        <is>
          <t>Corporate</t>
        </is>
      </c>
      <c r="D76" s="17" t="inlineStr">
        <is>
          <t>Zara Hussain</t>
        </is>
      </c>
      <c r="E76" s="17" t="inlineStr">
        <is>
          <t>IT Exporters / Freelancers</t>
        </is>
      </c>
      <c r="F76" s="17" t="inlineStr">
        <is>
          <t>GBP</t>
        </is>
      </c>
      <c r="G76" s="32" t="n">
        <v>305178.88</v>
      </c>
      <c r="H76" s="33" t="n">
        <v>108582645.5</v>
      </c>
      <c r="I76" s="34" t="n">
        <v>108.5826</v>
      </c>
      <c r="J76" s="17" t="inlineStr">
        <is>
          <t>Jun-26</t>
        </is>
      </c>
      <c r="K76" s="31" t="inlineStr">
        <is>
          <t>51556</t>
        </is>
      </c>
      <c r="L76" s="17" t="inlineStr">
        <is>
          <t>Jan-16-26</t>
        </is>
      </c>
      <c r="M76" s="17" t="inlineStr">
        <is>
          <t>Apr-24-26</t>
        </is>
      </c>
      <c r="N76" s="17" t="inlineStr">
        <is>
          <t>Z</t>
        </is>
      </c>
      <c r="O76" s="35" t="inlineStr">
        <is>
          <t>SURGICAL ITEMS</t>
        </is>
      </c>
      <c r="P76" s="17" t="inlineStr">
        <is>
          <t>Netherlands</t>
        </is>
      </c>
      <c r="Q76" s="17" t="inlineStr">
        <is>
          <t>LC Sight</t>
        </is>
      </c>
    </row>
    <row r="77" ht="16" customHeight="1">
      <c r="A77" s="36" t="inlineStr">
        <is>
          <t>96035</t>
        </is>
      </c>
      <c r="B77" s="36" t="inlineStr">
        <is>
          <t>2012</t>
        </is>
      </c>
      <c r="C77" s="22" t="inlineStr">
        <is>
          <t>Corporate</t>
        </is>
      </c>
      <c r="D77" s="22" t="inlineStr">
        <is>
          <t>Zara Hussain</t>
        </is>
      </c>
      <c r="E77" s="22" t="inlineStr">
        <is>
          <t>IT Exporters / Freelancers</t>
        </is>
      </c>
      <c r="F77" s="22" t="inlineStr">
        <is>
          <t>USD</t>
        </is>
      </c>
      <c r="G77" s="37" t="n">
        <v>345537.33</v>
      </c>
      <c r="H77" s="38" t="n">
        <v>96923221.06</v>
      </c>
      <c r="I77" s="39" t="n">
        <v>96.92319999999999</v>
      </c>
      <c r="J77" s="22" t="inlineStr">
        <is>
          <t>Jan-26</t>
        </is>
      </c>
      <c r="K77" s="36" t="inlineStr">
        <is>
          <t>51559</t>
        </is>
      </c>
      <c r="L77" s="22" t="inlineStr">
        <is>
          <t>Jan-10-26</t>
        </is>
      </c>
      <c r="M77" s="22" t="inlineStr">
        <is>
          <t>Apr-21-26</t>
        </is>
      </c>
      <c r="N77" s="22" t="inlineStr">
        <is>
          <t>Z</t>
        </is>
      </c>
      <c r="O77" s="40" t="inlineStr">
        <is>
          <t>RICE</t>
        </is>
      </c>
      <c r="P77" s="22" t="inlineStr">
        <is>
          <t>China</t>
        </is>
      </c>
      <c r="Q77" s="22" t="inlineStr">
        <is>
          <t>FDBC DA</t>
        </is>
      </c>
    </row>
    <row r="78" ht="16" customHeight="1">
      <c r="A78" s="31" t="inlineStr">
        <is>
          <t>51290</t>
        </is>
      </c>
      <c r="B78" s="31" t="inlineStr">
        <is>
          <t>4917</t>
        </is>
      </c>
      <c r="C78" s="17" t="inlineStr">
        <is>
          <t>Commercial</t>
        </is>
      </c>
      <c r="D78" s="17" t="inlineStr">
        <is>
          <t>Sana Malik</t>
        </is>
      </c>
      <c r="E78" s="17" t="inlineStr">
        <is>
          <t>Guarantee</t>
        </is>
      </c>
      <c r="F78" s="17" t="inlineStr">
        <is>
          <t>EUR</t>
        </is>
      </c>
      <c r="G78" s="32" t="n">
        <v>153900.45</v>
      </c>
      <c r="H78" s="33" t="n">
        <v>46970417.34</v>
      </c>
      <c r="I78" s="34" t="n">
        <v>46.9704</v>
      </c>
      <c r="J78" s="17" t="inlineStr">
        <is>
          <t>Feb-26</t>
        </is>
      </c>
      <c r="K78" s="31" t="inlineStr">
        <is>
          <t>51560</t>
        </is>
      </c>
      <c r="L78" s="17" t="inlineStr">
        <is>
          <t>Jan-6-26</t>
        </is>
      </c>
      <c r="M78" s="17" t="inlineStr">
        <is>
          <t>Apr-1-26</t>
        </is>
      </c>
      <c r="N78" s="17" t="inlineStr">
        <is>
          <t>P</t>
        </is>
      </c>
      <c r="O78" s="35" t="inlineStr">
        <is>
          <t>ENGINEERING GOODS</t>
        </is>
      </c>
      <c r="P78" s="17" t="inlineStr">
        <is>
          <t>Germany</t>
        </is>
      </c>
      <c r="Q78" s="17" t="inlineStr">
        <is>
          <t>Exp Advance Payment</t>
        </is>
      </c>
    </row>
    <row r="79" ht="16" customHeight="1">
      <c r="A79" s="36" t="inlineStr">
        <is>
          <t>74176</t>
        </is>
      </c>
      <c r="B79" s="36" t="inlineStr">
        <is>
          <t>7299</t>
        </is>
      </c>
      <c r="C79" s="22" t="inlineStr">
        <is>
          <t>SME &amp; Distribution</t>
        </is>
      </c>
      <c r="D79" s="22" t="inlineStr">
        <is>
          <t>Sana Malik</t>
        </is>
      </c>
      <c r="E79" s="22" t="inlineStr">
        <is>
          <t>Import</t>
        </is>
      </c>
      <c r="F79" s="22" t="inlineStr">
        <is>
          <t>GBP</t>
        </is>
      </c>
      <c r="G79" s="37" t="n">
        <v>294156.83</v>
      </c>
      <c r="H79" s="38" t="n">
        <v>104661000.11</v>
      </c>
      <c r="I79" s="39" t="n">
        <v>104.661</v>
      </c>
      <c r="J79" s="22" t="inlineStr">
        <is>
          <t>Feb-26</t>
        </is>
      </c>
      <c r="K79" s="36" t="inlineStr">
        <is>
          <t>51566</t>
        </is>
      </c>
      <c r="L79" s="22" t="inlineStr">
        <is>
          <t>Jan-15-26</t>
        </is>
      </c>
      <c r="M79" s="22" t="inlineStr">
        <is>
          <t>Apr-9-26</t>
        </is>
      </c>
      <c r="N79" s="22" t="inlineStr">
        <is>
          <t>P</t>
        </is>
      </c>
      <c r="O79" s="40" t="inlineStr">
        <is>
          <t>SURGICAL ITEMS</t>
        </is>
      </c>
      <c r="P79" s="22" t="inlineStr">
        <is>
          <t>Netherlands</t>
        </is>
      </c>
      <c r="Q79" s="22" t="inlineStr">
        <is>
          <t>Exp Advance Payment</t>
        </is>
      </c>
    </row>
    <row r="80" ht="16" customHeight="1">
      <c r="A80" s="31" t="inlineStr">
        <is>
          <t>46881</t>
        </is>
      </c>
      <c r="B80" s="31" t="inlineStr">
        <is>
          <t>9496</t>
        </is>
      </c>
      <c r="C80" s="17" t="inlineStr">
        <is>
          <t>Commercial</t>
        </is>
      </c>
      <c r="D80" s="17" t="inlineStr">
        <is>
          <t>Faisal Khan</t>
        </is>
      </c>
      <c r="E80" s="17" t="inlineStr">
        <is>
          <t>Export Services</t>
        </is>
      </c>
      <c r="F80" s="17" t="inlineStr">
        <is>
          <t>EUR</t>
        </is>
      </c>
      <c r="G80" s="32" t="n">
        <v>306741.48</v>
      </c>
      <c r="H80" s="33" t="n">
        <v>93617499.7</v>
      </c>
      <c r="I80" s="34" t="n">
        <v>93.61750000000001</v>
      </c>
      <c r="J80" s="17" t="inlineStr">
        <is>
          <t>Jun-26</t>
        </is>
      </c>
      <c r="K80" s="31" t="inlineStr">
        <is>
          <t>51567</t>
        </is>
      </c>
      <c r="L80" s="17" t="inlineStr">
        <is>
          <t>Jan-18-26</t>
        </is>
      </c>
      <c r="M80" s="17" t="inlineStr">
        <is>
          <t>Apr-23-26</t>
        </is>
      </c>
      <c r="N80" s="17" t="inlineStr">
        <is>
          <t>Z</t>
        </is>
      </c>
      <c r="O80" s="35" t="inlineStr">
        <is>
          <t>PHARMACEUTICAL ITEMS</t>
        </is>
      </c>
      <c r="P80" s="17" t="inlineStr">
        <is>
          <t>United Kingdom</t>
        </is>
      </c>
      <c r="Q80" s="17" t="inlineStr">
        <is>
          <t>FDBC DP</t>
        </is>
      </c>
    </row>
    <row r="81" ht="16" customHeight="1">
      <c r="A81" s="36" t="inlineStr">
        <is>
          <t>35939</t>
        </is>
      </c>
      <c r="B81" s="36" t="inlineStr">
        <is>
          <t>5457</t>
        </is>
      </c>
      <c r="C81" s="22" t="inlineStr">
        <is>
          <t>SME &amp; Distribution</t>
        </is>
      </c>
      <c r="D81" s="22" t="inlineStr">
        <is>
          <t>Tariq Mehmood</t>
        </is>
      </c>
      <c r="E81" s="22" t="inlineStr">
        <is>
          <t>Import</t>
        </is>
      </c>
      <c r="F81" s="22" t="inlineStr">
        <is>
          <t>USD</t>
        </is>
      </c>
      <c r="G81" s="37" t="n">
        <v>29385.16</v>
      </c>
      <c r="H81" s="38" t="n">
        <v>8242537.38</v>
      </c>
      <c r="I81" s="39" t="n">
        <v>8.2425</v>
      </c>
      <c r="J81" s="22" t="inlineStr">
        <is>
          <t>Apr-26</t>
        </is>
      </c>
      <c r="K81" s="36" t="inlineStr">
        <is>
          <t>51581</t>
        </is>
      </c>
      <c r="L81" s="22" t="inlineStr">
        <is>
          <t>Jan-4-26</t>
        </is>
      </c>
      <c r="M81" s="22" t="inlineStr">
        <is>
          <t>Apr-3-26</t>
        </is>
      </c>
      <c r="N81" s="22" t="inlineStr">
        <is>
          <t>P</t>
        </is>
      </c>
      <c r="O81" s="40" t="inlineStr">
        <is>
          <t>TEXTILE GOODS</t>
        </is>
      </c>
      <c r="P81" s="22" t="inlineStr">
        <is>
          <t>United Kingdom</t>
        </is>
      </c>
      <c r="Q81" s="22" t="inlineStr">
        <is>
          <t>FDBC DP</t>
        </is>
      </c>
    </row>
    <row r="82" ht="16" customHeight="1">
      <c r="A82" s="31" t="inlineStr">
        <is>
          <t>58684</t>
        </is>
      </c>
      <c r="B82" s="31" t="inlineStr">
        <is>
          <t>7138</t>
        </is>
      </c>
      <c r="C82" s="17" t="inlineStr">
        <is>
          <t>Corporate</t>
        </is>
      </c>
      <c r="D82" s="17" t="inlineStr">
        <is>
          <t>Salman Iqbal</t>
        </is>
      </c>
      <c r="E82" s="17" t="inlineStr">
        <is>
          <t>Export</t>
        </is>
      </c>
      <c r="F82" s="17" t="inlineStr">
        <is>
          <t>GBP</t>
        </is>
      </c>
      <c r="G82" s="32" t="n">
        <v>211836.77</v>
      </c>
      <c r="H82" s="33" t="n">
        <v>75371522.77</v>
      </c>
      <c r="I82" s="34" t="n">
        <v>75.3715</v>
      </c>
      <c r="J82" s="17" t="inlineStr">
        <is>
          <t>Apr-26</t>
        </is>
      </c>
      <c r="K82" s="31" t="inlineStr">
        <is>
          <t>51584</t>
        </is>
      </c>
      <c r="L82" s="17" t="inlineStr">
        <is>
          <t>Jan-17-26</t>
        </is>
      </c>
      <c r="M82" s="17" t="inlineStr">
        <is>
          <t>Apr-15-26</t>
        </is>
      </c>
      <c r="N82" s="17" t="inlineStr">
        <is>
          <t>Z</t>
        </is>
      </c>
      <c r="O82" s="35" t="inlineStr">
        <is>
          <t>RICE</t>
        </is>
      </c>
      <c r="P82" s="17" t="inlineStr">
        <is>
          <t>Bangladesh</t>
        </is>
      </c>
      <c r="Q82" s="17" t="inlineStr">
        <is>
          <t>FDBC DA</t>
        </is>
      </c>
    </row>
    <row r="83" ht="16" customHeight="1">
      <c r="A83" s="36" t="inlineStr">
        <is>
          <t>50761</t>
        </is>
      </c>
      <c r="B83" s="36" t="inlineStr">
        <is>
          <t>6034</t>
        </is>
      </c>
      <c r="C83" s="22" t="inlineStr">
        <is>
          <t>Commercial</t>
        </is>
      </c>
      <c r="D83" s="22" t="inlineStr">
        <is>
          <t>Salman Iqbal</t>
        </is>
      </c>
      <c r="E83" s="22" t="inlineStr">
        <is>
          <t>Guarantee</t>
        </is>
      </c>
      <c r="F83" s="22" t="inlineStr">
        <is>
          <t>EUR</t>
        </is>
      </c>
      <c r="G83" s="37" t="n">
        <v>79664.89999999999</v>
      </c>
      <c r="H83" s="38" t="n">
        <v>24313727.48</v>
      </c>
      <c r="I83" s="39" t="n">
        <v>24.3137</v>
      </c>
      <c r="J83" s="22" t="inlineStr">
        <is>
          <t>Jan-26</t>
        </is>
      </c>
      <c r="K83" s="36" t="inlineStr">
        <is>
          <t>51594</t>
        </is>
      </c>
      <c r="L83" s="22" t="inlineStr">
        <is>
          <t>Jan-11-26</t>
        </is>
      </c>
      <c r="M83" s="22" t="inlineStr">
        <is>
          <t>Apr-24-26</t>
        </is>
      </c>
      <c r="N83" s="22" t="inlineStr">
        <is>
          <t>P</t>
        </is>
      </c>
      <c r="O83" s="40" t="inlineStr">
        <is>
          <t>TEXTILE GOODS</t>
        </is>
      </c>
      <c r="P83" s="22" t="inlineStr">
        <is>
          <t>Turkey</t>
        </is>
      </c>
      <c r="Q83" s="22" t="inlineStr">
        <is>
          <t>Exp Advance Payment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</cols>
  <sheetData>
    <row r="1" ht="40" customHeight="1">
      <c r="A1" s="1" t="inlineStr">
        <is>
          <t>Claude AI for Trade Finance — Demo Prompts Script (PowerBIRS Talk Video)</t>
        </is>
      </c>
    </row>
    <row r="2" ht="16" customHeight="1">
      <c r="A2" s="2" t="inlineStr">
        <is>
          <t>Copy each prompt → paste data from relevant sheet → paste into Claude.ai → show response live on camera</t>
        </is>
      </c>
    </row>
    <row r="3" ht="24" customHeight="1">
      <c r="A3" s="41" t="inlineStr">
        <is>
          <t xml:space="preserve">  DEMO 1 — Dashboard Morning Briefing</t>
        </is>
      </c>
    </row>
    <row r="4" ht="16" customHeight="1">
      <c r="A4" s="42" t="inlineStr">
        <is>
          <t xml:space="preserve">  📋 Data Source: Sheet: Dashboard Summary</t>
        </is>
      </c>
    </row>
    <row r="5" ht="85" customHeight="1">
      <c r="A5" s="43" t="inlineStr">
        <is>
          <t>I am a Trade Finance Manager at a Pakistani bank. Below is our YTD Trade Finance dashboard data for 2026 (fictional). Write a concise morning briefing note (under 150 words) for our Head of Trade Finance covering: (1) Overall YTD achievement % versus target. (2) Which segment is performing best and which is lagging most. (3) One key risk observation. Use professional banking language. [Paste Dashboard Summary data here]</t>
        </is>
      </c>
    </row>
    <row r="7" ht="24" customHeight="1">
      <c r="A7" s="41" t="inlineStr">
        <is>
          <t xml:space="preserve">  DEMO 2 — Monthly Trend Analysis</t>
        </is>
      </c>
    </row>
    <row r="8" ht="16" customHeight="1">
      <c r="A8" s="42" t="inlineStr">
        <is>
          <t xml:space="preserve">  📋 Data Source: Sheet: Monthly Trend</t>
        </is>
      </c>
    </row>
    <row r="9" ht="85" customHeight="1">
      <c r="A9" s="43" t="inlineStr">
        <is>
          <t>Below is our monthly trade finance business trend for Jan to Jun 2026 (fictional). Analyze the data and: (1) Identify which instrument type (Export / Import / Guarantee) shows the steepest monthly decline. (2) Which month had the highest overall achievement? (3) Draft a 3-line commentary for our Board MIS report on the trend observed. Audience: Board Risk Committee. Tone: Formal and concise. [Paste Monthly Trend data here]</t>
        </is>
      </c>
    </row>
    <row r="11" ht="24" customHeight="1">
      <c r="A11" s="41" t="inlineStr">
        <is>
          <t xml:space="preserve">  DEMO 3 — AM / TL Performance Review Note</t>
        </is>
      </c>
    </row>
    <row r="12" ht="16" customHeight="1">
      <c r="A12" s="42" t="inlineStr">
        <is>
          <t xml:space="preserve">  📋 Data Source: Sheet: AM-TL Performance</t>
        </is>
      </c>
    </row>
    <row r="13" ht="85" customHeight="1">
      <c r="A13" s="43" t="inlineStr">
        <is>
          <t>Below is the YTD trade finance performance by Account Manager / Team Leader (fictional). Review the data and: (1) Rank the top 3 performers by total YTD volume. (2) Identify the bottom 2 performers and suggest a one-line action note for each. (3) Draft a short performance summary paragraph for the monthly business review meeting. Keep the tone professional but direct. [Paste AM-TL Performance data here]</t>
        </is>
      </c>
    </row>
    <row r="15" ht="24" customHeight="1">
      <c r="A15" s="41" t="inlineStr">
        <is>
          <t xml:space="preserve">  DEMO 4 — Transaction Pipeline Analysis</t>
        </is>
      </c>
    </row>
    <row r="16" ht="16" customHeight="1">
      <c r="A16" s="42" t="inlineStr">
        <is>
          <t xml:space="preserve">  📋 Data Source: Sheet: Transaction Master</t>
        </is>
      </c>
    </row>
    <row r="17" ht="85" customHeight="1">
      <c r="A17" s="43" t="inlineStr">
        <is>
          <t>Below is a sample of our trade finance transactions for 2026 (fictional demo data). Analyze the transaction mix and: (1) Break down the count and total PKR amount by instrument type (Export, Import, Guarantee). (2) Which currency dominates the portfolio? (3) List the top 3 commodity categories by transaction volume. (4) Draft a 2-sentence portfolio composition note for management. [Paste Transaction Master data here]</t>
        </is>
      </c>
    </row>
    <row r="19" ht="24" customHeight="1">
      <c r="A19" s="41" t="inlineStr">
        <is>
          <t xml:space="preserve">  DEMO 5 — MIS Commentary — Board Pack</t>
        </is>
      </c>
    </row>
    <row r="20" ht="16" customHeight="1">
      <c r="A20" s="42" t="inlineStr">
        <is>
          <t xml:space="preserve">  📋 Data Source: Sheet: Dashboard Summary + Monthly Trend</t>
        </is>
      </c>
    </row>
    <row r="21" ht="85" customHeight="1">
      <c r="A21" s="43" t="inlineStr">
        <is>
          <t>I need to prepare the Trade Finance section of our monthly Board MIS pack. Using the YTD dashboard summary and monthly trend data below (fictional), write the MIS commentary covering: (1) Business volume headline — total target vs achievement with % and Rs. million variance. (2) Segment-wise performance observation (Corporate / Commercial / SME). (3) Month-on-month trend observation for the last 3 months. (4) Forward outlook note — one sentence on what needs management attention next month. Format: Formal board-level English. Word limit: 200 words max. [Paste data from both sheets]</t>
        </is>
      </c>
    </row>
  </sheetData>
  <mergeCells count="17">
    <mergeCell ref="A1:D1"/>
    <mergeCell ref="A5:D5"/>
    <mergeCell ref="A9:D9"/>
    <mergeCell ref="A17:D17"/>
    <mergeCell ref="A8:D8"/>
    <mergeCell ref="A12:D12"/>
    <mergeCell ref="A4:D4"/>
    <mergeCell ref="A3:D3"/>
    <mergeCell ref="A20:D20"/>
    <mergeCell ref="A21:D21"/>
    <mergeCell ref="A15:D15"/>
    <mergeCell ref="A7:D7"/>
    <mergeCell ref="A2:D2"/>
    <mergeCell ref="A11:D11"/>
    <mergeCell ref="A16:D16"/>
    <mergeCell ref="A19:D19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2026-06-22T11:10:02Z</dcterms:created>
  <dcterms:modified xmlns:dcterms="http://purl.org/dc/terms/" xmlns:xsi="http://www.w3.org/2001/XMLSchema-instance" xsi:type="dcterms:W3CDTF">2026-06-22T11:10:02Z</dcterms:modified>
</cp:coreProperties>
</file>